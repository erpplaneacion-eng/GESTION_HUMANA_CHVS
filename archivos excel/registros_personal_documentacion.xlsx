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CAVIJUP\GESTION_HUMANA_CHVS\archivos excel\"/>
    </mc:Choice>
  </mc:AlternateContent>
  <xr:revisionPtr revIDLastSave="0" documentId="13_ncr:1_{5F59DD04-FC83-4669-B8E0-D5DA88728026}" xr6:coauthVersionLast="47" xr6:coauthVersionMax="47" xr10:uidLastSave="{00000000-0000-0000-0000-000000000000}"/>
  <bookViews>
    <workbookView xWindow="-108" yWindow="-108" windowWidth="23256" windowHeight="12456" xr2:uid="{A0301B53-C6BA-487B-A5DF-9BFDC6363248}"/>
  </bookViews>
  <sheets>
    <sheet name="RESUMEN DOCUMENTACION ACT" sheetId="1" r:id="rId1"/>
    <sheet name="credenciales git hub" sheetId="2" r:id="rId2"/>
  </sheets>
  <definedNames>
    <definedName name="_xlnm._FilterDatabase" localSheetId="0" hidden="1">'RESUMEN DOCUMENTACION ACT'!$A$2:$CP$19</definedName>
    <definedName name="akjhgbksdbj">#REF!</definedName>
    <definedName name="_xlnm.Print_Area" localSheetId="0">'RESUMEN DOCUMENTACION ACT'!$A$2:$CP$19</definedName>
    <definedName name="centro_gestor">#REF!</definedName>
    <definedName name="CENTROGESTOR">#REF!</definedName>
    <definedName name="CENTROGESTORDEPENDENCIA">#REF!</definedName>
    <definedName name="centrogestornuevo">#REF!</definedName>
    <definedName name="ddd">#REF!</definedName>
    <definedName name="DEPENDENCIA">#REF!</definedName>
    <definedName name="DEPENDENCIA2">#REF!</definedName>
    <definedName name="excepcional">#REF!</definedName>
    <definedName name="fff">#REF!</definedName>
    <definedName name="fondo">#REF!</definedName>
    <definedName name="FONDO2">#REF!</definedName>
    <definedName name="FONDOS">#REF!</definedName>
    <definedName name="gasto_publico">#REF!</definedName>
    <definedName name="grupos_vulnerables">#REF!</definedName>
    <definedName name="lll">#REF!</definedName>
    <definedName name="meta_plan">#REF!</definedName>
    <definedName name="METAAFPDCC">#REF!</definedName>
    <definedName name="METAPDCC">#REF!</definedName>
    <definedName name="METAPDCC2">#REF!</definedName>
    <definedName name="METASAFPDCC">#REF!</definedName>
    <definedName name="METASAFPDCC2">#REF!</definedName>
    <definedName name="METASAFPDM">#REF!</definedName>
    <definedName name="METASAFPDM2">#REF!</definedName>
    <definedName name="METASPDCC">#REF!</definedName>
    <definedName name="METASPDM">#REF!</definedName>
    <definedName name="mmm">#REF!</definedName>
    <definedName name="movilizador">#REF!</definedName>
    <definedName name="MOVILIZADORES">#REF!</definedName>
    <definedName name="nnn">#REF!</definedName>
    <definedName name="politica_publica">#REF!</definedName>
    <definedName name="pospre">#REF!</definedName>
    <definedName name="rrr">#REF!</definedName>
    <definedName name="ruta">#REF!</definedName>
    <definedName name="sector_mga">#REF!</definedName>
    <definedName name="t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9" i="1" l="1"/>
  <c r="CH19" i="1"/>
  <c r="CD19" i="1"/>
  <c r="BZ19" i="1"/>
  <c r="BV19" i="1"/>
  <c r="BQ19" i="1"/>
  <c r="CL18" i="1"/>
  <c r="CH18" i="1"/>
  <c r="CD18" i="1"/>
  <c r="BZ18" i="1"/>
  <c r="BV18" i="1"/>
  <c r="BQ18" i="1"/>
  <c r="CL17" i="1"/>
  <c r="CH17" i="1"/>
  <c r="CD17" i="1"/>
  <c r="BZ17" i="1"/>
  <c r="BV17" i="1"/>
  <c r="BQ17" i="1"/>
  <c r="CL16" i="1"/>
  <c r="CH16" i="1"/>
  <c r="CD16" i="1"/>
  <c r="BZ16" i="1"/>
  <c r="BV16" i="1"/>
  <c r="BQ16" i="1"/>
  <c r="CL15" i="1"/>
  <c r="CH15" i="1"/>
  <c r="CD15" i="1"/>
  <c r="BZ15" i="1"/>
  <c r="BV15" i="1"/>
  <c r="BQ15" i="1"/>
  <c r="CL14" i="1"/>
  <c r="CH14" i="1"/>
  <c r="CD14" i="1"/>
  <c r="BZ14" i="1"/>
  <c r="BV14" i="1"/>
  <c r="BQ14" i="1"/>
  <c r="CL13" i="1"/>
  <c r="CH13" i="1"/>
  <c r="CD13" i="1"/>
  <c r="BZ13" i="1"/>
  <c r="BV13" i="1"/>
  <c r="BQ13" i="1"/>
  <c r="CL12" i="1"/>
  <c r="CH12" i="1"/>
  <c r="CD12" i="1"/>
  <c r="BZ12" i="1"/>
  <c r="BV12" i="1"/>
  <c r="BQ12" i="1"/>
  <c r="CL11" i="1"/>
  <c r="CH11" i="1"/>
  <c r="CD11" i="1"/>
  <c r="BZ11" i="1"/>
  <c r="BV11" i="1"/>
  <c r="BQ11" i="1"/>
  <c r="CL10" i="1"/>
  <c r="CH10" i="1"/>
  <c r="CD10" i="1"/>
  <c r="BZ10" i="1"/>
  <c r="BV10" i="1"/>
  <c r="BQ10" i="1"/>
  <c r="CL9" i="1"/>
  <c r="CH9" i="1"/>
  <c r="CD9" i="1"/>
  <c r="BZ9" i="1"/>
  <c r="BV9" i="1"/>
  <c r="BQ9" i="1"/>
  <c r="CL8" i="1"/>
  <c r="CH8" i="1"/>
  <c r="CD8" i="1"/>
  <c r="BZ8" i="1"/>
  <c r="BV8" i="1"/>
  <c r="BQ8" i="1"/>
  <c r="CL7" i="1"/>
  <c r="CH7" i="1"/>
  <c r="CD7" i="1"/>
  <c r="BZ7" i="1"/>
  <c r="BV7" i="1"/>
  <c r="BQ7" i="1"/>
  <c r="CL6" i="1"/>
  <c r="CH6" i="1"/>
  <c r="CD6" i="1"/>
  <c r="BZ6" i="1"/>
  <c r="BV6" i="1"/>
  <c r="BQ6" i="1"/>
  <c r="CL5" i="1"/>
  <c r="CH5" i="1"/>
  <c r="CD5" i="1"/>
  <c r="BZ5" i="1"/>
  <c r="BV5" i="1"/>
  <c r="BQ5" i="1"/>
  <c r="CL4" i="1"/>
  <c r="CH4" i="1"/>
  <c r="CD4" i="1"/>
  <c r="BZ4" i="1"/>
  <c r="BV4" i="1"/>
  <c r="BQ4" i="1"/>
  <c r="CL3" i="1"/>
  <c r="CH3" i="1"/>
  <c r="CD3" i="1"/>
  <c r="BZ3" i="1"/>
  <c r="BV3" i="1"/>
  <c r="BQ3" i="1"/>
  <c r="AJ14" i="1" a="1"/>
  <c r="BE12" i="1" a="1"/>
  <c r="BE11" i="1" a="1"/>
  <c r="AQ11" i="1" a="1"/>
  <c r="AC4" i="1" a="1"/>
  <c r="AQ4" i="1" a="1"/>
  <c r="AJ15" i="1" a="1"/>
  <c r="T19" i="1" a="1"/>
  <c r="T3" i="1" a="1"/>
  <c r="AX10" i="1" a="1"/>
  <c r="BE19" i="1" a="1"/>
  <c r="AC15" i="1" a="1"/>
  <c r="AX14" i="1" a="1"/>
  <c r="T12" i="1" a="1"/>
  <c r="AX13" i="1" a="1"/>
  <c r="BE3" i="1" a="1"/>
  <c r="BE17" i="1" a="1"/>
  <c r="AC8" i="1" a="1"/>
  <c r="AX16" i="1" a="1"/>
  <c r="T17" i="1" a="1"/>
  <c r="BE14" i="1" a="1"/>
  <c r="AX8" i="1" a="1"/>
  <c r="AC13" i="1" a="1"/>
  <c r="T13" i="1" a="1"/>
  <c r="T11" i="1" a="1"/>
  <c r="AQ13" i="1" a="1"/>
  <c r="AJ10" i="1" a="1"/>
  <c r="AJ13" i="1" a="1"/>
  <c r="AC14" i="1" a="1"/>
  <c r="AJ5" i="1" a="1"/>
  <c r="T7" i="1" a="1"/>
  <c r="AJ12" i="1" a="1"/>
  <c r="T6" i="1" a="1"/>
  <c r="AQ15" i="1" a="1"/>
  <c r="T16" i="1" a="1"/>
  <c r="T14" i="1" a="1"/>
  <c r="AJ8" i="1" a="1"/>
  <c r="BE8" i="1" a="1"/>
  <c r="AX5" i="1" a="1"/>
  <c r="AC18" i="1" a="1"/>
  <c r="AQ18" i="1" a="1"/>
  <c r="AQ7" i="1" a="1"/>
  <c r="AX7" i="1" a="1"/>
  <c r="BE10" i="1" a="1"/>
  <c r="AX9" i="1" a="1"/>
  <c r="AC19" i="1" a="1"/>
  <c r="AQ6" i="1" a="1"/>
  <c r="AJ18" i="1" a="1"/>
  <c r="AQ5" i="1" a="1"/>
  <c r="AX11" i="1" a="1"/>
  <c r="AC11" i="1" a="1"/>
  <c r="AC5" i="1" a="1"/>
  <c r="BE15" i="1" a="1"/>
  <c r="T5" i="1" a="1"/>
  <c r="T9" i="1" a="1"/>
  <c r="AQ16" i="1" a="1"/>
  <c r="AQ19" i="1" a="1"/>
  <c r="AQ9" i="1" a="1"/>
  <c r="AQ8" i="1" a="1"/>
  <c r="AC7" i="1" a="1"/>
  <c r="AX17" i="1" a="1"/>
  <c r="AJ9" i="1" a="1"/>
  <c r="AX6" i="1" a="1"/>
  <c r="AC17" i="1" a="1"/>
  <c r="AQ17" i="1" a="1"/>
  <c r="BE9" i="1" a="1"/>
  <c r="AJ3" i="1" a="1"/>
  <c r="BE16" i="1" a="1"/>
  <c r="AC3" i="1" a="1"/>
  <c r="T18" i="1" a="1"/>
  <c r="AQ3" i="1" a="1"/>
  <c r="AX12" i="1" a="1"/>
  <c r="AJ11" i="1" a="1"/>
  <c r="BE7" i="1" a="1"/>
  <c r="AJ7" i="1" a="1"/>
  <c r="AJ4" i="1" a="1"/>
  <c r="AJ16" i="1" a="1"/>
  <c r="AQ14" i="1" a="1"/>
  <c r="AC10" i="1" a="1"/>
  <c r="BE13" i="1" a="1"/>
  <c r="BE18" i="1" a="1"/>
  <c r="AC9" i="1" a="1"/>
  <c r="BE5" i="1" a="1"/>
  <c r="T8" i="1" a="1"/>
  <c r="AX3" i="1" a="1"/>
  <c r="BE6" i="1" a="1"/>
  <c r="AC16" i="1" a="1"/>
  <c r="T10" i="1" a="1"/>
  <c r="AX18" i="1" a="1"/>
  <c r="AX4" i="1" a="1"/>
  <c r="AX19" i="1" a="1"/>
  <c r="AJ6" i="1" a="1"/>
  <c r="AC6" i="1" a="1"/>
  <c r="AJ17" i="1" a="1"/>
  <c r="AQ12" i="1" a="1"/>
  <c r="T4" i="1" a="1"/>
  <c r="T15" i="1" a="1"/>
  <c r="AQ10" i="1" a="1"/>
  <c r="BE4" i="1" a="1"/>
  <c r="AJ19" i="1" a="1"/>
  <c r="AC12" i="1" a="1"/>
  <c r="AX15" i="1" a="1"/>
  <c r="T3" i="1" l="1"/>
  <c r="T5" i="1"/>
  <c r="AJ12" i="1"/>
  <c r="AX9" i="1"/>
  <c r="BE11" i="1"/>
  <c r="BE14" i="1"/>
  <c r="AC19" i="1"/>
  <c r="AX3" i="1"/>
  <c r="AJ15" i="1"/>
  <c r="AJ6" i="1"/>
  <c r="AX8" i="1"/>
  <c r="AX12" i="1"/>
  <c r="AC13" i="1"/>
  <c r="AX15" i="1"/>
  <c r="T16" i="1"/>
  <c r="BE17" i="1"/>
  <c r="AQ18" i="1"/>
  <c r="BE5" i="1"/>
  <c r="AJ7" i="1"/>
  <c r="BE3" i="1"/>
  <c r="AJ4" i="1"/>
  <c r="AQ7" i="1"/>
  <c r="T9" i="1"/>
  <c r="AQ10" i="1"/>
  <c r="T8" i="1"/>
  <c r="AC3" i="1"/>
  <c r="AQ5" i="1"/>
  <c r="AC11" i="1"/>
  <c r="AC14" i="1"/>
  <c r="AQ4" i="1"/>
  <c r="AX7" i="1"/>
  <c r="AC9" i="1"/>
  <c r="AX10" i="1"/>
  <c r="AX13" i="1"/>
  <c r="BE6" i="1"/>
  <c r="AJ11" i="1"/>
  <c r="AC8" i="1"/>
  <c r="AQ9" i="1"/>
  <c r="AQ3" i="1"/>
  <c r="BE4" i="1"/>
  <c r="T10" i="1"/>
  <c r="AJ3" i="1"/>
  <c r="T4" i="1"/>
  <c r="AX4" i="1"/>
  <c r="AQ6" i="1"/>
  <c r="BE7" i="1"/>
  <c r="AQ8" i="1"/>
  <c r="T11" i="1"/>
  <c r="AJ13" i="1"/>
  <c r="T15" i="1"/>
  <c r="AJ19" i="1"/>
  <c r="AJ5" i="1"/>
  <c r="AC7" i="1"/>
  <c r="AX11" i="1"/>
  <c r="AC15" i="1"/>
  <c r="AQ16" i="1"/>
  <c r="AC4" i="1"/>
  <c r="T6" i="1"/>
  <c r="AC10" i="1"/>
  <c r="AJ14" i="1"/>
  <c r="BE15" i="1"/>
  <c r="AJ17" i="1"/>
  <c r="T18" i="1"/>
  <c r="BE18" i="1"/>
  <c r="AQ19" i="1"/>
  <c r="AC12" i="1"/>
  <c r="BE16" i="1"/>
  <c r="AQ17" i="1"/>
  <c r="BE12" i="1"/>
  <c r="AX14" i="1"/>
  <c r="AJ18" i="1"/>
  <c r="T19" i="1"/>
  <c r="AX19" i="1"/>
  <c r="T7" i="1"/>
  <c r="AQ11" i="1"/>
  <c r="BE13" i="1"/>
  <c r="AQ15" i="1"/>
  <c r="AJ16" i="1"/>
  <c r="T17" i="1"/>
  <c r="BE19" i="1"/>
  <c r="AC6" i="1"/>
  <c r="AX6" i="1"/>
  <c r="AJ10" i="1"/>
  <c r="BE10" i="1"/>
  <c r="T14" i="1"/>
  <c r="AQ14" i="1"/>
  <c r="AC18" i="1"/>
  <c r="AX18" i="1"/>
  <c r="AC5" i="1"/>
  <c r="AX5" i="1"/>
  <c r="AJ9" i="1"/>
  <c r="BE9" i="1"/>
  <c r="T13" i="1"/>
  <c r="AQ13" i="1"/>
  <c r="AC17" i="1"/>
  <c r="AX17" i="1"/>
  <c r="AJ8" i="1"/>
  <c r="BE8" i="1"/>
  <c r="T12" i="1"/>
  <c r="AQ12" i="1"/>
  <c r="AC16" i="1"/>
  <c r="AX16" i="1"/>
  <c r="BJ3" i="1" l="1"/>
  <c r="AI9" i="1"/>
  <c r="AK9" i="1" s="1"/>
  <c r="AI14" i="1"/>
  <c r="AK14" i="1" s="1"/>
  <c r="AP16" i="1"/>
  <c r="AR16" i="1" s="1"/>
  <c r="S11" i="1"/>
  <c r="U11" i="1" s="1"/>
  <c r="BJ11" i="1"/>
  <c r="S10" i="1"/>
  <c r="U10" i="1" s="1"/>
  <c r="BJ10" i="1"/>
  <c r="AW5" i="1"/>
  <c r="AY5" i="1" s="1"/>
  <c r="BD10" i="1"/>
  <c r="BF10" i="1" s="1"/>
  <c r="AB15" i="1"/>
  <c r="AD15" i="1" s="1"/>
  <c r="BD4" i="1"/>
  <c r="BF4" i="1" s="1"/>
  <c r="AI10" i="1"/>
  <c r="AK10" i="1" s="1"/>
  <c r="BD16" i="1"/>
  <c r="BF16" i="1" s="1"/>
  <c r="S6" i="1"/>
  <c r="U6" i="1" s="1"/>
  <c r="BJ6" i="1"/>
  <c r="AW10" i="1"/>
  <c r="AY10" i="1" s="1"/>
  <c r="AB7" i="1"/>
  <c r="AD7" i="1" s="1"/>
  <c r="AP6" i="1"/>
  <c r="AR6" i="1" s="1"/>
  <c r="AB9" i="1"/>
  <c r="AD9" i="1" s="1"/>
  <c r="AP18" i="1"/>
  <c r="AR18" i="1" s="1"/>
  <c r="AB6" i="1"/>
  <c r="AD6" i="1" s="1"/>
  <c r="BD18" i="1"/>
  <c r="BF18" i="1" s="1"/>
  <c r="AI5" i="1"/>
  <c r="AK5" i="1" s="1"/>
  <c r="AW4" i="1"/>
  <c r="AY4" i="1" s="1"/>
  <c r="AW7" i="1"/>
  <c r="AY7" i="1" s="1"/>
  <c r="BJ8" i="1"/>
  <c r="S8" i="1"/>
  <c r="U8" i="1" s="1"/>
  <c r="BD17" i="1"/>
  <c r="BF17" i="1" s="1"/>
  <c r="BJ14" i="1"/>
  <c r="S14" i="1"/>
  <c r="BJ7" i="1"/>
  <c r="S7" i="1"/>
  <c r="U7" i="1" s="1"/>
  <c r="AI4" i="1"/>
  <c r="AK4" i="1" s="1"/>
  <c r="AP17" i="1"/>
  <c r="AR17" i="1" s="1"/>
  <c r="AB10" i="1"/>
  <c r="AD10" i="1" s="1"/>
  <c r="AP8" i="1"/>
  <c r="AR8" i="1" s="1"/>
  <c r="AW13" i="1"/>
  <c r="AY13" i="1" s="1"/>
  <c r="AB5" i="1"/>
  <c r="AD5" i="1" s="1"/>
  <c r="AW11" i="1"/>
  <c r="AY11" i="1" s="1"/>
  <c r="BD7" i="1"/>
  <c r="BF7" i="1" s="1"/>
  <c r="AP3" i="1"/>
  <c r="AR3" i="1" s="1"/>
  <c r="AW6" i="1"/>
  <c r="AY6" i="1" s="1"/>
  <c r="AW19" i="1"/>
  <c r="AY19" i="1" s="1"/>
  <c r="AB12" i="1"/>
  <c r="AD12" i="1" s="1"/>
  <c r="AP19" i="1"/>
  <c r="AR19" i="1" s="1"/>
  <c r="AB4" i="1"/>
  <c r="AD4" i="1" s="1"/>
  <c r="BD3" i="1"/>
  <c r="BF3" i="1" s="1"/>
  <c r="AW16" i="1"/>
  <c r="AY16" i="1" s="1"/>
  <c r="S3" i="1"/>
  <c r="U3" i="1" s="1"/>
  <c r="AB19" i="1"/>
  <c r="AD19" i="1" s="1"/>
  <c r="BD14" i="1"/>
  <c r="BF14" i="1" s="1"/>
  <c r="BD11" i="1"/>
  <c r="BF11" i="1" s="1"/>
  <c r="S4" i="1"/>
  <c r="U4" i="1" s="1"/>
  <c r="BJ4" i="1"/>
  <c r="AP9" i="1"/>
  <c r="AR9" i="1" s="1"/>
  <c r="AW9" i="1"/>
  <c r="AY9" i="1" s="1"/>
  <c r="AP12" i="1"/>
  <c r="AR12" i="1" s="1"/>
  <c r="BJ12" i="1"/>
  <c r="S12" i="1"/>
  <c r="U12" i="1" s="1"/>
  <c r="S17" i="1"/>
  <c r="BJ17" i="1"/>
  <c r="S19" i="1"/>
  <c r="BJ19" i="1"/>
  <c r="AB13" i="1"/>
  <c r="AD13" i="1" s="1"/>
  <c r="AB17" i="1"/>
  <c r="AD17" i="1" s="1"/>
  <c r="AI16" i="1"/>
  <c r="AK16" i="1" s="1"/>
  <c r="AI11" i="1"/>
  <c r="AK11" i="1" s="1"/>
  <c r="AB14" i="1"/>
  <c r="AD14" i="1" s="1"/>
  <c r="AW12" i="1"/>
  <c r="AY12" i="1" s="1"/>
  <c r="AW18" i="1"/>
  <c r="AY18" i="1" s="1"/>
  <c r="AB11" i="1"/>
  <c r="AD11" i="1" s="1"/>
  <c r="BJ5" i="1"/>
  <c r="S5" i="1"/>
  <c r="BJ13" i="1"/>
  <c r="S13" i="1"/>
  <c r="U13" i="1" s="1"/>
  <c r="AB18" i="1"/>
  <c r="AD18" i="1" s="1"/>
  <c r="BD13" i="1"/>
  <c r="BF13" i="1" s="1"/>
  <c r="BD12" i="1"/>
  <c r="BF12" i="1" s="1"/>
  <c r="AI17" i="1"/>
  <c r="AK17" i="1" s="1"/>
  <c r="BJ15" i="1"/>
  <c r="S15" i="1"/>
  <c r="U15" i="1" s="1"/>
  <c r="AP5" i="1"/>
  <c r="AR5" i="1" s="1"/>
  <c r="BJ9" i="1"/>
  <c r="S9" i="1"/>
  <c r="BD5" i="1"/>
  <c r="BF5" i="1" s="1"/>
  <c r="AI6" i="1"/>
  <c r="AK6" i="1" s="1"/>
  <c r="AB16" i="1"/>
  <c r="AD16" i="1" s="1"/>
  <c r="AP4" i="1"/>
  <c r="AR4" i="1" s="1"/>
  <c r="BJ16" i="1"/>
  <c r="S16" i="1"/>
  <c r="BD19" i="1"/>
  <c r="BF19" i="1" s="1"/>
  <c r="AI3" i="1"/>
  <c r="AK3" i="1" s="1"/>
  <c r="AB8" i="1"/>
  <c r="AD8" i="1" s="1"/>
  <c r="AI7" i="1"/>
  <c r="AK7" i="1" s="1"/>
  <c r="AW15" i="1"/>
  <c r="AY15" i="1" s="1"/>
  <c r="AW17" i="1"/>
  <c r="AY17" i="1" s="1"/>
  <c r="BD8" i="1"/>
  <c r="BF8" i="1" s="1"/>
  <c r="AI18" i="1"/>
  <c r="AK18" i="1" s="1"/>
  <c r="AI12" i="1"/>
  <c r="AK12" i="1" s="1"/>
  <c r="AI8" i="1"/>
  <c r="AK8" i="1" s="1"/>
  <c r="AP13" i="1"/>
  <c r="AR13" i="1" s="1"/>
  <c r="AP15" i="1"/>
  <c r="AR15" i="1" s="1"/>
  <c r="AW14" i="1"/>
  <c r="AY14" i="1" s="1"/>
  <c r="BJ18" i="1"/>
  <c r="S18" i="1"/>
  <c r="AI19" i="1"/>
  <c r="AK19" i="1" s="1"/>
  <c r="BD6" i="1"/>
  <c r="BF6" i="1" s="1"/>
  <c r="AP10" i="1"/>
  <c r="AR10" i="1" s="1"/>
  <c r="AW8" i="1"/>
  <c r="AY8" i="1" s="1"/>
  <c r="BD9" i="1"/>
  <c r="BF9" i="1" s="1"/>
  <c r="AP14" i="1"/>
  <c r="AR14" i="1" s="1"/>
  <c r="AP11" i="1"/>
  <c r="AR11" i="1" s="1"/>
  <c r="BD15" i="1"/>
  <c r="BF15" i="1" s="1"/>
  <c r="AI13" i="1"/>
  <c r="AK13" i="1" s="1"/>
  <c r="AB3" i="1"/>
  <c r="AD3" i="1" s="1"/>
  <c r="AP7" i="1"/>
  <c r="AR7" i="1" s="1"/>
  <c r="AI15" i="1"/>
  <c r="AK15" i="1" s="1"/>
  <c r="AW3" i="1"/>
  <c r="AY3" i="1" s="1"/>
  <c r="BI9" i="1" l="1"/>
  <c r="CO9" i="1" s="1"/>
  <c r="CP9" i="1" s="1"/>
  <c r="BK7" i="1"/>
  <c r="BK10" i="1"/>
  <c r="BI6" i="1"/>
  <c r="CO6" i="1" s="1"/>
  <c r="CP6" i="1" s="1"/>
  <c r="BI16" i="1"/>
  <c r="CO16" i="1" s="1"/>
  <c r="CP16" i="1" s="1"/>
  <c r="U9" i="1"/>
  <c r="BK9" i="1" s="1"/>
  <c r="BI11" i="1"/>
  <c r="CO11" i="1" s="1"/>
  <c r="CP11" i="1" s="1"/>
  <c r="BK6" i="1"/>
  <c r="BI15" i="1"/>
  <c r="CO15" i="1" s="1"/>
  <c r="CP15" i="1" s="1"/>
  <c r="BI3" i="1"/>
  <c r="CO3" i="1" s="1"/>
  <c r="CP3" i="1" s="1"/>
  <c r="BI19" i="1"/>
  <c r="CO19" i="1" s="1"/>
  <c r="CP19" i="1" s="1"/>
  <c r="BI7" i="1"/>
  <c r="CO7" i="1" s="1"/>
  <c r="CP7" i="1" s="1"/>
  <c r="BK15" i="1"/>
  <c r="BI13" i="1"/>
  <c r="CO13" i="1" s="1"/>
  <c r="CP13" i="1" s="1"/>
  <c r="U19" i="1"/>
  <c r="BK19" i="1" s="1"/>
  <c r="BK3" i="1"/>
  <c r="BI5" i="1"/>
  <c r="CO5" i="1" s="1"/>
  <c r="CP5" i="1" s="1"/>
  <c r="BI14" i="1"/>
  <c r="CO14" i="1" s="1"/>
  <c r="CP14" i="1" s="1"/>
  <c r="BK8" i="1"/>
  <c r="BI17" i="1"/>
  <c r="CO17" i="1" s="1"/>
  <c r="CP17" i="1" s="1"/>
  <c r="BI8" i="1"/>
  <c r="CO8" i="1" s="1"/>
  <c r="CP8" i="1" s="1"/>
  <c r="BI18" i="1"/>
  <c r="CO18" i="1" s="1"/>
  <c r="CP18" i="1" s="1"/>
  <c r="U5" i="1"/>
  <c r="BK5" i="1" s="1"/>
  <c r="BK12" i="1"/>
  <c r="U18" i="1"/>
  <c r="BK18" i="1" s="1"/>
  <c r="U16" i="1"/>
  <c r="BK16" i="1" s="1"/>
  <c r="U17" i="1"/>
  <c r="BK17" i="1" s="1"/>
  <c r="BI12" i="1"/>
  <c r="CO12" i="1" s="1"/>
  <c r="CP12" i="1" s="1"/>
  <c r="BI4" i="1"/>
  <c r="CO4" i="1" s="1"/>
  <c r="CP4" i="1" s="1"/>
  <c r="U14" i="1"/>
  <c r="BK14" i="1" s="1"/>
  <c r="BK4" i="1"/>
  <c r="BI10" i="1"/>
  <c r="CO10" i="1" s="1"/>
  <c r="CP10" i="1" s="1"/>
  <c r="BK13" i="1"/>
  <c r="BK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<sst xmlns="http://schemas.openxmlformats.org/spreadsheetml/2006/main" count="468" uniqueCount="274">
  <si>
    <t>ITEM</t>
  </si>
  <si>
    <t xml:space="preserve">Perfil </t>
  </si>
  <si>
    <t>Area del conocimiento</t>
  </si>
  <si>
    <t xml:space="preserve">Tipo de perfil </t>
  </si>
  <si>
    <t>Area de conocimiento</t>
  </si>
  <si>
    <t>Profesion</t>
  </si>
  <si>
    <t>Experiencia</t>
  </si>
  <si>
    <t>Tiempo de experiencia</t>
  </si>
  <si>
    <t>Cantidad</t>
  </si>
  <si>
    <t>CEDULA</t>
  </si>
  <si>
    <t>DESCRIPCIÓN</t>
  </si>
  <si>
    <t>GENERO</t>
  </si>
  <si>
    <t>BASE ANEXO 11</t>
  </si>
  <si>
    <t>DIRECCION</t>
  </si>
  <si>
    <t>TELEFONO</t>
  </si>
  <si>
    <t>CORREO</t>
  </si>
  <si>
    <t>FECHA INICIAL</t>
  </si>
  <si>
    <t>FECHA DE TERMINACION</t>
  </si>
  <si>
    <t>1. CERTIFICADOS LABORALES O CONTRACTUALES
MESES EXPERIENCIA</t>
  </si>
  <si>
    <t>1. CERTIFICADOS LABORALES O CONTRACTUALES
DIAS EXPERIENCIA</t>
  </si>
  <si>
    <t>1. CERTIFICADOS LABORALES O CONTRACTUALES
DIAS RESIDUAL EXPERIENCIA</t>
  </si>
  <si>
    <t>CARGO</t>
  </si>
  <si>
    <t>CARGO ANEXO 11</t>
  </si>
  <si>
    <t>OBJETO CONTRACTUAL</t>
  </si>
  <si>
    <t>FUNCIONES</t>
  </si>
  <si>
    <t>FECHA INICIAL 2</t>
  </si>
  <si>
    <t>FECHA DE TERMINACION 2</t>
  </si>
  <si>
    <t>2. CERTIFICADOS LABORALES O CONTRACTUALES
MESES EXPERIENCIA</t>
  </si>
  <si>
    <t>2. CERTIFICADOS LABORALES O CONTRACTUALES
DIAS EXPERIENCIA</t>
  </si>
  <si>
    <t>2. CERTIFICADOS LABORALES O CONTRACTUALES
DIAS RESIDUAL EXPERIENCIA</t>
  </si>
  <si>
    <t>FECHA INICIAL 3</t>
  </si>
  <si>
    <t>FECHA DE TERMINACION 3</t>
  </si>
  <si>
    <t>3. CERTIFICADOS LABORALES O CONTRACTUALES
MESES EXPERIENCIA</t>
  </si>
  <si>
    <t>3. CERTIFICADOS LABORALES O CONTRACTUALES
DIAS EXPERIENCIA</t>
  </si>
  <si>
    <t>3. CERTIFICADOS LABORALES O CONTRACTUALES
DIAS RESIDUAL EXPERIENCIA</t>
  </si>
  <si>
    <t>FECHA INICIAL 4</t>
  </si>
  <si>
    <t>FECHA DE TERMINACION 4</t>
  </si>
  <si>
    <t>4. CERTIFICADOS LABORALES O CONTRACTUALES
MESES EXPERIENCIA</t>
  </si>
  <si>
    <t>4. CERTIFICADOS LABORALES O CONTRACTUALES
DIAS EXPERIENCIA</t>
  </si>
  <si>
    <t>4. CERTIFICADOS LABORALES O CONTRACTUALES
DIAS RESIDUAL EXPERIENCIA</t>
  </si>
  <si>
    <t>FECHA INICIAL 5</t>
  </si>
  <si>
    <t>FECHA DE TERMINACION 5</t>
  </si>
  <si>
    <t>5. CERTIFICADOS LABORALES O CONTRACTUALES
MESES EXPERIENCIA</t>
  </si>
  <si>
    <t>5. CERTIFICADOS LABORALES O CONTRACTUALES
DIAS EXPERIENCIA</t>
  </si>
  <si>
    <t>5. CERTIFICADOS LABORALES O CONTRACTUALES
DIAS RESIDUAL EXPERIENCIA</t>
  </si>
  <si>
    <t>FECHA INICIAL 6</t>
  </si>
  <si>
    <t>FECHA DE TERMINACION 6</t>
  </si>
  <si>
    <t>6. CERTIFICADOS LABORALES O CONTRACTUALES
MESES EXPERIENCIA</t>
  </si>
  <si>
    <t>6. CERTIFICADOS LABORALES O CONTRACTUALES
DIAS EXPERIENCIA</t>
  </si>
  <si>
    <t>6. CERTIFICADOS LABORALES O CONTRACTUALES
DIAS RESIDUAL EXPERIENCIA</t>
  </si>
  <si>
    <t>TOTAL MESES EXPERIENCIA CERTIFICADA</t>
  </si>
  <si>
    <t>TOTAL DIAS EXPERIENCIA CERTIFICADA</t>
  </si>
  <si>
    <t>TOTAL DIAS RESIDUA EXPERIENCIA CERTIFICADA</t>
  </si>
  <si>
    <t>FECHA EXPEDICION
TARJETA O RESOLUCIÓN PROFESIONAL</t>
  </si>
  <si>
    <t>PROFESION 1</t>
  </si>
  <si>
    <t>UNIVERSIDAD</t>
  </si>
  <si>
    <t>N° TARJETA O RESOLUCION</t>
  </si>
  <si>
    <t>FECHA DE GRADO 
PROFESION 1</t>
  </si>
  <si>
    <t>PROFESION 1 -MESES DE EXPERIENCIA</t>
  </si>
  <si>
    <t>PROFESION 2</t>
  </si>
  <si>
    <t>FECHA DE GRADO 
PROFESION 2</t>
  </si>
  <si>
    <t>PROFESION 2- MESES DE EXPERIENCIA</t>
  </si>
  <si>
    <t>ESPECIALIZACION 1</t>
  </si>
  <si>
    <t>FECHA ESPECIALIZACION 1</t>
  </si>
  <si>
    <t>ESPECIALIZACION 1 MESES DE EXPERIENCIA</t>
  </si>
  <si>
    <t>ESPECIALIZACION 2</t>
  </si>
  <si>
    <t>FECHA ESPECIALIZACION 2</t>
  </si>
  <si>
    <t>ESPECIALIZACION 2- MESES DE EXPERIENCIA</t>
  </si>
  <si>
    <t>MAESTRIA 1</t>
  </si>
  <si>
    <t>Fecha MAESTRIA 1</t>
  </si>
  <si>
    <t>MAESTRIA 1- MESES DE EXPERIENCIA</t>
  </si>
  <si>
    <t>MAESTRIA 2</t>
  </si>
  <si>
    <t>Fecha MAESTRIA 2</t>
  </si>
  <si>
    <t>MAESTRIA 2- MESES DE EXPERIENCIA</t>
  </si>
  <si>
    <t>POSGRADO 1</t>
  </si>
  <si>
    <t xml:space="preserve">OBSERVACION </t>
  </si>
  <si>
    <t>TOTAL EXPERIENCIA EN AÑOS</t>
  </si>
  <si>
    <t>AÑOS Y MESES DE EXPERIENCIA</t>
  </si>
  <si>
    <t>Equipo Juridico</t>
  </si>
  <si>
    <t>Profesionales de Apoyo</t>
  </si>
  <si>
    <t>Profesional</t>
  </si>
  <si>
    <t xml:space="preserve">Ciencias Sociales </t>
  </si>
  <si>
    <t xml:space="preserve">Derecho </t>
  </si>
  <si>
    <t>12 meses</t>
  </si>
  <si>
    <t>Alfonso Ives Rivas Tello</t>
  </si>
  <si>
    <t>Masculino</t>
  </si>
  <si>
    <t>1ra entrega</t>
  </si>
  <si>
    <t>Carrera 85C2 # 55A-28 Apto F 503</t>
  </si>
  <si>
    <t>dr.rivastello@gmail.com</t>
  </si>
  <si>
    <t>PROFESIONAL</t>
  </si>
  <si>
    <t>"Fortalecimiento del programa para el mejoramiento de la calidad de vida de la población en condición de pobreza extrema a través de la seguridad alimentaria y el acompañamiento con intervención psicosocial en Santiago de Cali” en Convenio de Asociación No. 4146.010.27.1.01-2024, firmado con la Secretaría de Bienestar Social de la Alcaldía de Santiago de Cali, cuyo objeto es “Aunar esfuerzos técnicos, humanos, administrativos y financieros para el mejoramiento de las condiciones de seguridad alimentaria de la población vulnerable, garantizando su acceso a los alimentos, brindando intervención psicosocial, en el Distrito de Santiago de Cali, de conformidad con el proyecto anteriormente denominado, ficha BP- 26004132.</t>
  </si>
  <si>
    <t>PRESTAR SERVICIOS PROFESIONALES PARA LA ELABORACION DE DOCUMENTOS JURIDICOS Y CONTRACTUALES.</t>
  </si>
  <si>
    <t>COORDINADOR DE TALENTO HUMANO</t>
  </si>
  <si>
    <t>ADMINISTRAR LOS PROCESOS DE GESTIÓN HUMANA</t>
  </si>
  <si>
    <t>ASESOR JURIDICO</t>
  </si>
  <si>
    <t>GARANTIZAR LA ATENCION Y RESOLUCION OPORTUNA EN LOS PROBLEMAS JURIDICOS.</t>
  </si>
  <si>
    <t>ABOGADO</t>
  </si>
  <si>
    <t>Equipo Técnico</t>
  </si>
  <si>
    <t>Ciencias Sociales, Administración, ingeniería</t>
  </si>
  <si>
    <t>Trabajador social, Psicología, Sociología, Administrador de empresas, Administrador público, Economista, Ingeniero Industrial, Ingeniero de Sistemas, Profesional en Finanzas, Administrador Ambiental, Nutricionista, ingeniería agrónoma, Antropólogo, Profesional en Derecho.</t>
  </si>
  <si>
    <t>18 meses</t>
  </si>
  <si>
    <t>Ana Maria Olmedo Oñate</t>
  </si>
  <si>
    <t>Femenino</t>
  </si>
  <si>
    <t>PDTE</t>
  </si>
  <si>
    <t>Calle 69 # 4C-97</t>
  </si>
  <si>
    <t>aolmedoonate@gmail.com</t>
  </si>
  <si>
    <t>PSICOLOGA</t>
  </si>
  <si>
    <t>"Fortalecimiento del programa para el mejoramiento de la calidad de vida de la población en condición de pobreza extrema a través de la seguridad alimentaria y el acompañamiento con intervención psicosocial en Santiago de Cali” en Convenio de Asociación No. 4146.010.27.1.01-003-2023, firmado con la Secretaría de Bienestar Social de la Alcaldía de Santiago de Cali, cuyo objeto es “Aunar esfuerzos técnicos, humanos, administrativos y financieros para el mejoramiento de las condiciones de seguridad alimentaria de la población vulnerable, garantizando su acceso a los alimentos, brindando intervención psicosocial, en el Distrito de Santiago de Cali, de conformidad con el proyecto anteriormente denominado, Ficha FBP26004132.</t>
  </si>
  <si>
    <t>REALIZAR INTERVENCIÓN PSICOLOGICA A LA POBLACION BENEFICIARIA EN LOS COMEDORES COMUNITARIOS.</t>
  </si>
  <si>
    <t>APOYO Y ORIENTACION PSICOLOGICA A GESTORES Y BENEFICIARIOS.</t>
  </si>
  <si>
    <t>APOYO EN PSICOLOGIA ORIENTADAS AL MEJORAMIENTO DE LAS CONDICIONES PSICOAFECTIVAS Y PSICOSOCIALES DE LOS GESTORES.</t>
  </si>
  <si>
    <t>UNIVERSIDAD DEL NORTE</t>
  </si>
  <si>
    <t>Intervención y Acompañamiento</t>
  </si>
  <si>
    <t>Ciencias Sociales</t>
  </si>
  <si>
    <t>Trabajador Social, Sociológía, Comunicación Social, Psicoogía y/o Pedagogía</t>
  </si>
  <si>
    <t>Angela María Cruz Bolaños</t>
  </si>
  <si>
    <t>Carrera 15 # 71-137</t>
  </si>
  <si>
    <t>angeluzka_1982@hotmail.com</t>
  </si>
  <si>
    <t>DISEÑAR Y ELABORAR PLANES DE CAPACITACION Y TALLERES FORMATIVOS DIRIGIDO A GESTORES.</t>
  </si>
  <si>
    <t>LICENCIADA EN EDUCACION BASICA</t>
  </si>
  <si>
    <t>HOJA DE VIDA SIN FIRMA. CERTIFICADOS LABORALES (2) NO TIENEN FUNCIONES</t>
  </si>
  <si>
    <t>Líderes psicosocieles</t>
  </si>
  <si>
    <t xml:space="preserve">Lider Equipo Intervención </t>
  </si>
  <si>
    <t>Profesional con posgrado</t>
  </si>
  <si>
    <t>Psicología, Trabajo Social, Sociología, Antropología y Ciencias Políticas</t>
  </si>
  <si>
    <t xml:space="preserve">Profesional y Relacionada </t>
  </si>
  <si>
    <t>36 meses</t>
  </si>
  <si>
    <t>Angelica Maria Osorio Diaz</t>
  </si>
  <si>
    <t>Calle 40 Norte # 2F-59</t>
  </si>
  <si>
    <t>angelica.osoriodiaz@gmail.com</t>
  </si>
  <si>
    <t xml:space="preserve">Profesional </t>
  </si>
  <si>
    <t>PLANEAR, SISTEMATIZAR Y EVALUAR ACTIVIDADES DE INTERVENCION PSICOSOCIAL.</t>
  </si>
  <si>
    <t>APOYAR EN EL DISEÑO E IMPLEMENTACION DE ACTIVIDADES ENCAMINADAS A PROYECTOS PSICOSOCIALES.</t>
  </si>
  <si>
    <t>COORDINADORA DE GESTION HUMANA</t>
  </si>
  <si>
    <t>PRESTAR LOS SERVICIOS PROFESIONALES EN LA COORDINACION DEL PROCESO DE VINCULACION DE COMEDORES COMUNITARIOS.</t>
  </si>
  <si>
    <t>PONTIFICIA UNIVERSIDAD JAVERIANA</t>
  </si>
  <si>
    <t>NEUROPSICOLOGIA INFANTIL</t>
  </si>
  <si>
    <t>Equipo Psicológico</t>
  </si>
  <si>
    <t xml:space="preserve">Psicología </t>
  </si>
  <si>
    <t xml:space="preserve">12 meses </t>
  </si>
  <si>
    <t>Carolina Marin Jaramillo</t>
  </si>
  <si>
    <t>Calle 44A # 4-30</t>
  </si>
  <si>
    <t>caritomarin888@gmail.com</t>
  </si>
  <si>
    <t>REALIZAR VISITAS DE SEGUIMIENTO A COMEDORES COMUNITARIOS.</t>
  </si>
  <si>
    <t>VISITAS DE ACOMPAÑAMIENTO PSICOLOGICO A GESTORES.</t>
  </si>
  <si>
    <t>UNIVERSIDAD DE SAN BUENAVENTURA CALI</t>
  </si>
  <si>
    <t>HOJA DE VIDA SIN FIRMA. UN CERTIFICADO LABORAL SIN FUNCIONES.</t>
  </si>
  <si>
    <t>Apoyo técnico y Operativo</t>
  </si>
  <si>
    <t>Técnico</t>
  </si>
  <si>
    <t>N/A</t>
  </si>
  <si>
    <t>Técnicos, Tecnólogos en Áreas Administrativas, Sistemas, Industrial, Trabajo social, Sociología, Psicología, Antropología, Pedagogía y afines o con al menos 6 semestres aprobados en la modalidad de pregrado. de pregrado</t>
  </si>
  <si>
    <t xml:space="preserve">Laboral </t>
  </si>
  <si>
    <t>6 meses</t>
  </si>
  <si>
    <t>Carolina Montoya Dominguez</t>
  </si>
  <si>
    <t>Calle 49 Norte # 6-96 Torre A Apto 204</t>
  </si>
  <si>
    <t>carolinamontoya1998@gmail.com</t>
  </si>
  <si>
    <t>TECNICO</t>
  </si>
  <si>
    <t>Tecnico Operativo</t>
  </si>
  <si>
    <t>BRINDAR APOYO TECNICO Y OPERATIVO PARA EL FUNCIONAMIENTO DE LOS COMEDORES COMUNITARIOS.</t>
  </si>
  <si>
    <t>CONTABILIDAD GENERAL SISTEMATIZADA</t>
  </si>
  <si>
    <t>GARANTIZAR LA COMUNICACION EFECTIVA CON LOS GESTORES.</t>
  </si>
  <si>
    <t>TECNICO LABORAL POR COMPETENCIAS EN CONTABILIDAD GENERAL SISTEMATIZADA</t>
  </si>
  <si>
    <t>INSTITUTO DE EDUCACION PARA EL TRABAJO Y DESARROLLO HUMANO</t>
  </si>
  <si>
    <t>CERTIFICADOS LABORALES (3) SIN FUNCIONES.</t>
  </si>
  <si>
    <t>Claudia Elena Medina Ramirez</t>
  </si>
  <si>
    <t>Calle 54 # 83C2-38 Apto 503</t>
  </si>
  <si>
    <t>claudiaemedinara@gmail.com</t>
  </si>
  <si>
    <t>BRINDAR ACOMPAÑAMIENTO TECNICO A LA ATENCION PSICOSOCIAL A POBLACION VICTIMA DEL CONFLICTO ARMADO, FAMILIAS Y COMUNIDADES.</t>
  </si>
  <si>
    <t>REALIZAR ALISTAMIENTO DEL PROCESO DE ATENCION PSICOSOCIAL.</t>
  </si>
  <si>
    <t>REALIZAR ALISTAMIENTO DEL PROCESO DE ATENCION PSICOSOCIAL MEDIANTE EL ANALISIS DE CONTEXTO DEL TERRITORIO ASIGNADO.</t>
  </si>
  <si>
    <t>NO TIENE TARJETA PROFESIONAL.</t>
  </si>
  <si>
    <t>Claudia Vargas Hincapie</t>
  </si>
  <si>
    <t>Calle 1 Oeste # 12A Oeste - 141</t>
  </si>
  <si>
    <t>clavapsi75@gmail.com</t>
  </si>
  <si>
    <t>SEGUIR Y ACOMPAÑAR LAS ACTIVIDADES CONTRACTUALES DE LOS INTEGRANTES DE SU EQUIPO.</t>
  </si>
  <si>
    <t>VISITAS DE SEGUIMIENTO A COMEDORES COMUNITARIOS ORIENTADAS AL FORTALECIMIENTO INTEGRAL DEL FUNCIONAMIENTO.</t>
  </si>
  <si>
    <t>VISITAS DE ACOMPAÑAMIENTO PSICOLOGICO A GESTORES ORIENTADAS AL MEJORAMIENTO DE SUS CONDICIONES PSICOAFECTIVAS Y PSICOSOCIALES.</t>
  </si>
  <si>
    <t>PROFESIONAL DE ACOMPAÑAMIENTO FAMILIAR</t>
  </si>
  <si>
    <t>IDENTIFICAR, BUSCAR Y VINCULAR A LAS FAMILIAS DEL TERRITORIO URBANO DE ACUERDO CON LOS LISTADOS DE FOCALIZACION TERRITORIAL Y POBLACIONAL.</t>
  </si>
  <si>
    <t>PSICOLOGO</t>
  </si>
  <si>
    <t>REALIZAR VISITAS DE CAMPO PARA GESTORAS Y ATENCION A BENEFICIARIOS REQUERIDAS EN LA MATRIZ DE PLANIFICACION PARA CUMPLIMIENTO DE LA META.</t>
  </si>
  <si>
    <t>UNIVERSIDAD COOPERATIVA DE COLOMBIA</t>
  </si>
  <si>
    <t>CERTIFICADOS LABORALES (4) SIN FUNCIONES Y (2) MAS CON FUNCIONES.</t>
  </si>
  <si>
    <t xml:space="preserve">Equipo Social </t>
  </si>
  <si>
    <t>Trabajador Social, Sociólogo, Antropólogo, Politólogo, Educadores Populares, Ciencias Políticas.</t>
  </si>
  <si>
    <t>Claudia Yinesa Tello Campaz</t>
  </si>
  <si>
    <t>Calle 55A # 42-96</t>
  </si>
  <si>
    <t>telloyinesa@gmail.com</t>
  </si>
  <si>
    <t xml:space="preserve">PROFESIONAL </t>
  </si>
  <si>
    <t>REALIZAR INTERVENCION SOCIAL.</t>
  </si>
  <si>
    <t>APOYO A GESTION HUMANA</t>
  </si>
  <si>
    <t>APOYO INTERVENCION SOCIAL</t>
  </si>
  <si>
    <t>DIAGNOSTICOS QUE ORIENTARAN LA INTERVENCION SOCIAL</t>
  </si>
  <si>
    <t>TRABAJADORA SOCIAL</t>
  </si>
  <si>
    <t>FUNDACION UNIVERSITARIA DE POPAYAN</t>
  </si>
  <si>
    <t>Administrarivo y Financiero</t>
  </si>
  <si>
    <t>Economía, Administración, Contaduría y afines</t>
  </si>
  <si>
    <t>Ingeniero industrial y/o administrador de empresas. Contaduría Pública, Economía, Administrador Publico.</t>
  </si>
  <si>
    <t>Clemencia Hernadez Garcia</t>
  </si>
  <si>
    <t>Calle 53 # 1-126</t>
  </si>
  <si>
    <t>clema.2268@hotmail.com</t>
  </si>
  <si>
    <t>TESORERA</t>
  </si>
  <si>
    <t>ADMINISTRADOR DE EMPRESAS</t>
  </si>
  <si>
    <t>LA CERTIFICACION NO CUENTA CON FUNCIONES</t>
  </si>
  <si>
    <t>Equipo Sanitario Ambiental y Nutricional</t>
  </si>
  <si>
    <t>Profesional Lider</t>
  </si>
  <si>
    <t>Ciencias de la Salud e
Ingeniería</t>
  </si>
  <si>
    <t xml:space="preserve">Nutricionista,
Ingeniero de Alimentos, Ingeniería Ambiental, ingeniería Agroindustrial. </t>
  </si>
  <si>
    <t>Daniel Mauricio Rosero Grijalba</t>
  </si>
  <si>
    <t>Carrera 39 # 2-36</t>
  </si>
  <si>
    <t>alimentarioynutricional@gmail.com</t>
  </si>
  <si>
    <t>NUTRICIONISTA</t>
  </si>
  <si>
    <t>Planear, coordinar, orientar y acompañar el desarrollo de las actividades del componente de
Alimentario y Saneamiento.</t>
  </si>
  <si>
    <t>interconsulta por nutrición a internos según remisión médica y prescripción
dietaría, control y supervisión en los procesos de preparación, ensamble de
la distribución de alimentos y dietas en el servicio de alimentación</t>
  </si>
  <si>
    <t>NUTRICIONISTA DIETISTA</t>
  </si>
  <si>
    <t>servicios profesionales para el componente de NUTRICIÓN Y SANEAMIENTO en la Comisión Arquidiocesana Vida Justicia y Paz en el marco del proyecto Compromiso Valle</t>
  </si>
  <si>
    <t>servicios profesionales para el componente de SANEAMIENTO Y NUTRICIÓN en
la Comisión Arquidiocesana Vida Justicia y Paz en el marco del proyecto
Compromiso Valle, el cual se adelanta en convenio con la alianza de ciudad
denominada PRO-PACIFICO</t>
  </si>
  <si>
    <t>servicios profesionales para el componente de SANEAMIENTO Y NUTRICIÓN en
la Comisión Arquidiocesana Vida Justicia y Paz en el marco del proyecto
Compromiso Valle, el cual se adelanta en convenio con la alianza de ciudad
denominada PROPACIFICO.</t>
  </si>
  <si>
    <t>apoyo al programa de
seguridad alimentaria y nutricional de la población en extrema pobreza del
Distrito Especial de Cali</t>
  </si>
  <si>
    <t>LIBRETA MILITAR PROVISIONAL. VENCE 01/10/2015</t>
  </si>
  <si>
    <t>Ingeniería Agroindustrial,
Ingeniería Ambiental, 
Ingeniería de Alimentos, 
Ingeniería Agrícola,
Ingeniería Ambiental y Sanitaria,
Nutrición y Dietética, Administrador ambiental, Administrador agropecuario, Ingeniería agronómica,</t>
  </si>
  <si>
    <t>Daniela Izquierdo Chasqui</t>
  </si>
  <si>
    <t>Transversal 29 # 25-101</t>
  </si>
  <si>
    <t>dani.izqui@hotmail.com</t>
  </si>
  <si>
    <t xml:space="preserve"> Prestar los servicios PROFESIONALES Y DE APOYO A LA GESTIÓN como NUTRICIONISTA DIETISTA para el proyecto FORTALECIMIENTO DE LA PARTICIPACIÓN E INCLUSIÓN DE LA POBLACIÓN EN RECREACIÓN, ACTIVIDAD FÍSICA, DEPORTE FORMATIVO Y SOCIAL COMUNITARIO EN EL VALLE DEL CAUCA</t>
  </si>
  <si>
    <t xml:space="preserve"> Prestar los servicios PROFESIONALES Y DE APOYO A LA GESTIÓN por sus propios medios con
plena autonomía técnica y administrativa, como NUTRICIONISTA DIETISTA para el desarrollo del proyecto estratégico denominado: “FORTALECIMIENTO DE LA PARTICIPACIÓN E INCLUSIÓN DE LA POBLACIÓN EN RECREACIÓN, ACTIVIDAD FÍSICA, DEPORTE FORMATIVO Y SOCIAL COMUNITARIO EN EL VALLE DEL CAUCA
</t>
  </si>
  <si>
    <t>Prestar los servicios PROFESIONALES Y DE APOYO A LA GESTIÓN por sus propios medios con
plena autonomía técnica y administrativa, como NUTRICIONISTA DIETISTA para el desarrollo del proyecto
estratégico denominado: “FORTALECIMIENTO DE LA PARTICIPACIÓN E INCLUSIÓN DE LA POBLACIÓN EN
RECREACIÓN, ACTIVIDAD FÍSICA, DEPORTE FORMATIVO Y SOCIAL COMUNITARIO EN EL VALLE DEL
CAUCA”</t>
  </si>
  <si>
    <t>ESPECIALISTA EN ACTIVIDAD FISICA</t>
  </si>
  <si>
    <t>LA HOJA DE VIDA NO ESTA FIRMADA</t>
  </si>
  <si>
    <t>Daniela Montes Alvarez</t>
  </si>
  <si>
    <t>Callejon los Naranjos Villas de las mercedes</t>
  </si>
  <si>
    <t>danielapsico_20@outlook.es</t>
  </si>
  <si>
    <t xml:space="preserve"> prestará sus servicios contracuales como APOYO DE INTERVENCIÓN EN PSICOLOGÍA</t>
  </si>
  <si>
    <t>Servicios contractuales como Apoyo Psicológico</t>
  </si>
  <si>
    <t xml:space="preserve">Servicios contractuales como PROFESIONAL, para el área de APOYO PSICOLÓGICO
</t>
  </si>
  <si>
    <t>UNIVERSIDAD ICESI</t>
  </si>
  <si>
    <t>LA HOJA DE VIDA NO ESTA FIRMADA. EN LA HOJA DE VIDA SE RELACIONA FORMACIÓN DE ESPECIALISTA. SIN EMBARGO NO ADJUNTA CERTIFICADO DE FORMACIÓN COMO ESPECIALISTA</t>
  </si>
  <si>
    <t>Dario Alberto Castrillon Toro</t>
  </si>
  <si>
    <t>Av 7N # 17AN-64 Apto 104</t>
  </si>
  <si>
    <t>dacastrillon24052@gmail.com</t>
  </si>
  <si>
    <t>prestará sus servicios contractuales como APOYO TÉCNICO, para el desarrollo del proyecto “comedores comunitarios corazón contento”</t>
  </si>
  <si>
    <t>CONTRATISTA</t>
  </si>
  <si>
    <t>Prestar servicios profesionales para el proyecto “apoyo al programa de seguridad alimentaria y nutricional de la población en extrema pobreza del Distrito Especial de Cali</t>
  </si>
  <si>
    <t>LA HOJA DE VIDA NO ESTA FIRMADA. CERTIFICADO DE PREGRADO NO LEGIBLE. TIENE UN (1) CERTIFICADO LABORAL QUE NO REGISTRA OBJETO CONTRACTUAL O FUNCIONES. LA TARJETA PROFESIONAL NO ES LEGIBLE</t>
  </si>
  <si>
    <t>Diana Katherine Ramos Martinez</t>
  </si>
  <si>
    <t>Carrera 121A # 47-108</t>
  </si>
  <si>
    <t>di_kate_02@hotmail.com</t>
  </si>
  <si>
    <t>Planear, sistematizar y evaluar todas las actividades de la intervención psicosocial</t>
  </si>
  <si>
    <t>PSICOLOGA - ESPECIALISTA EN PSICOLOGIA FORENSE</t>
  </si>
  <si>
    <t>Servicios contractuales como APOYO A GESTIÓN HUMANA a la comisión</t>
  </si>
  <si>
    <t>prestará sus servicios contracuales como APOYO DE INTERVENCIÓN EN PSICOLOGÍA</t>
  </si>
  <si>
    <t>ESPECIALISTA EN PSICOLOGIA FORENSE</t>
  </si>
  <si>
    <t>Diana Marcela Gonzalez Moreno</t>
  </si>
  <si>
    <t xml:space="preserve">Cra 14a # 72a 76 </t>
  </si>
  <si>
    <t>nikollesaafts@gmail.com</t>
  </si>
  <si>
    <t xml:space="preserve">servicios contractuales como PROFESIONAL para el área
de SOCIAL. Realizar intervención social. </t>
  </si>
  <si>
    <t>Valoración sociofamiliar, seguimiento, orientación, intervención y acompañamiento a la familia y apoyo en el desarrollo del proyecto de atención institucional, para el goce efectivo de los derechos de los niños, las niñas, adolescentes y sus familias y/o redes vinculares de apoyo</t>
  </si>
  <si>
    <t>CAPACITADOR</t>
  </si>
  <si>
    <t>Implementación sesiones de formación (mujeres)</t>
  </si>
  <si>
    <t>Técnico o Tecnólogo en Alimentos, Técnico laboral por competencias en Chef, Tecnólogo en Control de Calidad de Alimentos, afines, Tecnólogos en gestión de recursos naturales, Tecnólogo en agua y saneamiento, Tecnólogo en control de calidad de alimentos, Técnico Gestión en sistemas de manejo ambiental, Tecnólogo en Ecología y manejo ambiental.</t>
  </si>
  <si>
    <t>Divanny Andres Lozano Franco</t>
  </si>
  <si>
    <t>Carrera 6 # 1-22</t>
  </si>
  <si>
    <t>lozanodivanny3@gmail.com</t>
  </si>
  <si>
    <t>BACHILLER</t>
  </si>
  <si>
    <t>en su calidad de Bachiller, prestó sus servicios contractuales como Apoyo Alimentario y Saneamiento Básico</t>
  </si>
  <si>
    <t>En su calidad de BACHILLER, prestará sus servicios contractuales como APOYO DEL PLAN DE SANEAMIENTO BASICO Y AMBIENTAL</t>
  </si>
  <si>
    <t>ADMINISTRADOR AMBIENTAL</t>
  </si>
  <si>
    <t xml:space="preserve">Presta sus servicios contractuales como ADMINISTRADOR AMBIENTAL para el área de SEGURIDAD ALIMENTARIA Y NUTRICIONAL, </t>
  </si>
  <si>
    <t>NO TIENE PREGRADO. ADJUNTA CONSTANCIA DE ESTUDIO. NO ADJUNTA CERTIFICADO DE BACHILLER</t>
  </si>
  <si>
    <t>automatico</t>
  </si>
  <si>
    <t>campos diligenciados por administrativo</t>
  </si>
  <si>
    <t>campos diligenciados por contratista</t>
  </si>
  <si>
    <t xml:space="preserve">toquen </t>
  </si>
  <si>
    <t>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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</si>
</sst>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yyyy\-mm\-dd"/>
    <numFmt numFmtId="166" formatCode="0.0"/>
    <numFmt numFmtId="167" formatCode="yyyy/m/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8" fillId="0" borderId="0" xfId="0" applyFont="1"/>
    <xf numFmtId="167" fontId="7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 xr:uid="{7E84D818-004B-4CC7-819F-1F884C25C488}"/>
  </cellStyles>
  <dxfs count="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DD0C-CC59-4EA0-9E19-4FF9608914B2}">
  <sheetPr>
    <tabColor rgb="FFFFC000"/>
  </sheetPr>
  <dimension ref="A1:CP19"/>
  <sheetViews>
    <sheetView showGridLines="0" tabSelected="1" topLeftCell="BX1" zoomScaleNormal="100" zoomScaleSheetLayoutView="10" workbookViewId="0">
      <selection activeCell="CB18" sqref="CB18"/>
    </sheetView>
  </sheetViews>
  <sheetFormatPr baseColWidth="10" defaultColWidth="14.44140625" defaultRowHeight="15" customHeight="1" x14ac:dyDescent="0.3"/>
  <cols>
    <col min="1" max="1" width="10.44140625" bestFit="1" customWidth="1"/>
    <col min="2" max="10" width="13.5546875" customWidth="1"/>
    <col min="11" max="11" width="29.5546875" bestFit="1" customWidth="1"/>
    <col min="12" max="13" width="12.44140625" customWidth="1"/>
    <col min="14" max="14" width="13.88671875" bestFit="1" customWidth="1"/>
    <col min="15" max="15" width="13.44140625" bestFit="1" customWidth="1"/>
    <col min="16" max="16" width="33.88671875" bestFit="1" customWidth="1"/>
    <col min="17" max="18" width="10.6640625" bestFit="1" customWidth="1"/>
    <col min="19" max="20" width="9.6640625" customWidth="1"/>
    <col min="21" max="21" width="16.109375" customWidth="1"/>
    <col min="22" max="24" width="41.88671875" customWidth="1"/>
    <col min="25" max="25" width="50.44140625" customWidth="1"/>
    <col min="26" max="30" width="9.6640625" customWidth="1"/>
    <col min="31" max="31" width="46.33203125" customWidth="1"/>
    <col min="32" max="32" width="35.33203125" customWidth="1"/>
    <col min="33" max="33" width="9.6640625" customWidth="1"/>
    <col min="34" max="37" width="12.44140625" customWidth="1"/>
    <col min="38" max="38" width="34.33203125" customWidth="1"/>
    <col min="39" max="39" width="9.44140625" customWidth="1"/>
    <col min="40" max="41" width="11.5546875" customWidth="1"/>
    <col min="42" max="44" width="9.44140625" customWidth="1"/>
    <col min="45" max="45" width="32" customWidth="1"/>
    <col min="46" max="46" width="7.5546875" customWidth="1"/>
    <col min="47" max="48" width="10.109375" customWidth="1"/>
    <col min="49" max="51" width="8.5546875" customWidth="1"/>
    <col min="52" max="52" width="28" customWidth="1"/>
    <col min="53" max="53" width="7.5546875" customWidth="1"/>
    <col min="54" max="54" width="10.5546875" customWidth="1"/>
    <col min="55" max="58" width="11.6640625" customWidth="1"/>
    <col min="59" max="59" width="29.33203125" customWidth="1"/>
    <col min="60" max="62" width="7.5546875" customWidth="1"/>
    <col min="63" max="64" width="11.88671875" customWidth="1"/>
    <col min="65" max="65" width="20.5546875" customWidth="1"/>
    <col min="66" max="66" width="25.33203125" customWidth="1"/>
    <col min="67" max="67" width="20.5546875" customWidth="1"/>
    <col min="68" max="74" width="10.5546875" customWidth="1"/>
    <col min="75" max="75" width="35.44140625" customWidth="1"/>
    <col min="76" max="76" width="30.6640625" customWidth="1"/>
    <col min="77" max="84" width="18.5546875" customWidth="1"/>
    <col min="85" max="86" width="9.5546875" customWidth="1"/>
    <col min="87" max="87" width="7.5546875" customWidth="1"/>
    <col min="88" max="88" width="19.109375" customWidth="1"/>
    <col min="89" max="91" width="10.44140625" customWidth="1"/>
    <col min="92" max="92" width="29.5546875" customWidth="1"/>
    <col min="93" max="93" width="15.5546875" style="15" customWidth="1"/>
    <col min="94" max="94" width="16.109375" customWidth="1"/>
  </cols>
  <sheetData>
    <row r="1" spans="1:94" ht="15" customHeight="1" thickBot="1" x14ac:dyDescent="0.35">
      <c r="A1" t="s">
        <v>269</v>
      </c>
      <c r="B1" s="30" t="s">
        <v>270</v>
      </c>
      <c r="C1" s="30"/>
      <c r="D1" s="30"/>
      <c r="E1" s="30"/>
      <c r="F1" s="30"/>
      <c r="G1" s="30"/>
      <c r="H1" s="30"/>
      <c r="I1" s="30"/>
      <c r="J1" s="29" t="s">
        <v>271</v>
      </c>
      <c r="K1" s="29"/>
      <c r="L1" s="29"/>
      <c r="M1" s="16" t="s">
        <v>270</v>
      </c>
      <c r="N1" s="29" t="s">
        <v>271</v>
      </c>
      <c r="O1" s="29"/>
      <c r="P1" s="29"/>
      <c r="Q1" s="16" t="s">
        <v>271</v>
      </c>
      <c r="R1" s="16" t="s">
        <v>271</v>
      </c>
      <c r="S1" s="29" t="s">
        <v>269</v>
      </c>
      <c r="T1" s="29"/>
      <c r="U1" s="29"/>
      <c r="V1" s="16" t="s">
        <v>271</v>
      </c>
      <c r="Y1" s="16" t="s">
        <v>271</v>
      </c>
      <c r="BI1" s="29" t="s">
        <v>269</v>
      </c>
      <c r="BJ1" s="29"/>
      <c r="BK1" s="29"/>
      <c r="BL1" s="29" t="s">
        <v>271</v>
      </c>
      <c r="BM1" s="29"/>
      <c r="BN1" s="29"/>
      <c r="BO1" s="29"/>
      <c r="BP1" s="29"/>
      <c r="BQ1" s="29"/>
      <c r="BW1" s="16" t="s">
        <v>271</v>
      </c>
      <c r="BX1" s="16" t="s">
        <v>271</v>
      </c>
      <c r="BY1" s="16" t="s">
        <v>271</v>
      </c>
      <c r="BZ1" s="16" t="s">
        <v>271</v>
      </c>
      <c r="CO1" s="15" t="s">
        <v>269</v>
      </c>
      <c r="CP1" s="15" t="s">
        <v>269</v>
      </c>
    </row>
    <row r="2" spans="1:94" ht="93.75" customHeight="1" x14ac:dyDescent="0.3">
      <c r="A2" s="1" t="s">
        <v>0</v>
      </c>
      <c r="B2" s="21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19" t="s">
        <v>9</v>
      </c>
      <c r="K2" s="20" t="s">
        <v>10</v>
      </c>
      <c r="L2" s="20" t="s">
        <v>11</v>
      </c>
      <c r="M2" s="18" t="s">
        <v>12</v>
      </c>
      <c r="N2" s="20" t="s">
        <v>13</v>
      </c>
      <c r="O2" s="20" t="s">
        <v>14</v>
      </c>
      <c r="P2" s="20" t="s">
        <v>15</v>
      </c>
      <c r="Q2" s="23" t="s">
        <v>16</v>
      </c>
      <c r="R2" s="23" t="s">
        <v>17</v>
      </c>
      <c r="S2" s="24" t="s">
        <v>18</v>
      </c>
      <c r="T2" s="24" t="s">
        <v>19</v>
      </c>
      <c r="U2" s="24" t="s">
        <v>20</v>
      </c>
      <c r="V2" s="23" t="s">
        <v>21</v>
      </c>
      <c r="W2" s="25" t="s">
        <v>22</v>
      </c>
      <c r="X2" s="25" t="s">
        <v>23</v>
      </c>
      <c r="Y2" s="23" t="s">
        <v>24</v>
      </c>
      <c r="Z2" s="26" t="s">
        <v>25</v>
      </c>
      <c r="AA2" s="26" t="s">
        <v>26</v>
      </c>
      <c r="AB2" s="26" t="s">
        <v>27</v>
      </c>
      <c r="AC2" s="26" t="s">
        <v>28</v>
      </c>
      <c r="AD2" s="26" t="s">
        <v>29</v>
      </c>
      <c r="AE2" s="26" t="s">
        <v>21</v>
      </c>
      <c r="AF2" s="26" t="s">
        <v>24</v>
      </c>
      <c r="AG2" s="26" t="s">
        <v>30</v>
      </c>
      <c r="AH2" s="26" t="s">
        <v>31</v>
      </c>
      <c r="AI2" s="26" t="s">
        <v>32</v>
      </c>
      <c r="AJ2" s="26" t="s">
        <v>33</v>
      </c>
      <c r="AK2" s="26" t="s">
        <v>34</v>
      </c>
      <c r="AL2" s="26" t="s">
        <v>21</v>
      </c>
      <c r="AM2" s="26" t="s">
        <v>24</v>
      </c>
      <c r="AN2" s="26" t="s">
        <v>35</v>
      </c>
      <c r="AO2" s="26" t="s">
        <v>36</v>
      </c>
      <c r="AP2" s="26" t="s">
        <v>37</v>
      </c>
      <c r="AQ2" s="26" t="s">
        <v>38</v>
      </c>
      <c r="AR2" s="26" t="s">
        <v>39</v>
      </c>
      <c r="AS2" s="26" t="s">
        <v>21</v>
      </c>
      <c r="AT2" s="26" t="s">
        <v>24</v>
      </c>
      <c r="AU2" s="26" t="s">
        <v>40</v>
      </c>
      <c r="AV2" s="26" t="s">
        <v>41</v>
      </c>
      <c r="AW2" s="26" t="s">
        <v>42</v>
      </c>
      <c r="AX2" s="26" t="s">
        <v>43</v>
      </c>
      <c r="AY2" s="26" t="s">
        <v>44</v>
      </c>
      <c r="AZ2" s="26" t="s">
        <v>21</v>
      </c>
      <c r="BA2" s="26" t="s">
        <v>24</v>
      </c>
      <c r="BB2" s="26" t="s">
        <v>45</v>
      </c>
      <c r="BC2" s="26" t="s">
        <v>46</v>
      </c>
      <c r="BD2" s="26" t="s">
        <v>47</v>
      </c>
      <c r="BE2" s="26" t="s">
        <v>48</v>
      </c>
      <c r="BF2" s="26" t="s">
        <v>49</v>
      </c>
      <c r="BG2" s="26" t="s">
        <v>21</v>
      </c>
      <c r="BH2" s="26" t="s">
        <v>24</v>
      </c>
      <c r="BI2" s="27" t="s">
        <v>50</v>
      </c>
      <c r="BJ2" s="27" t="s">
        <v>51</v>
      </c>
      <c r="BK2" s="27" t="s">
        <v>52</v>
      </c>
      <c r="BL2" s="23" t="s">
        <v>53</v>
      </c>
      <c r="BM2" s="23" t="s">
        <v>54</v>
      </c>
      <c r="BN2" s="23" t="s">
        <v>55</v>
      </c>
      <c r="BO2" s="23" t="s">
        <v>56</v>
      </c>
      <c r="BP2" s="23" t="s">
        <v>57</v>
      </c>
      <c r="BQ2" s="23" t="s">
        <v>58</v>
      </c>
      <c r="BR2" s="26" t="s">
        <v>59</v>
      </c>
      <c r="BS2" s="26" t="s">
        <v>55</v>
      </c>
      <c r="BT2" s="26" t="s">
        <v>56</v>
      </c>
      <c r="BU2" s="26" t="s">
        <v>60</v>
      </c>
      <c r="BV2" s="26" t="s">
        <v>61</v>
      </c>
      <c r="BW2" s="23" t="s">
        <v>62</v>
      </c>
      <c r="BX2" s="23" t="s">
        <v>55</v>
      </c>
      <c r="BY2" s="23" t="s">
        <v>63</v>
      </c>
      <c r="BZ2" s="23" t="s">
        <v>64</v>
      </c>
      <c r="CA2" s="26" t="s">
        <v>65</v>
      </c>
      <c r="CB2" s="26" t="s">
        <v>55</v>
      </c>
      <c r="CC2" s="26" t="s">
        <v>66</v>
      </c>
      <c r="CD2" s="26" t="s">
        <v>67</v>
      </c>
      <c r="CE2" s="26" t="s">
        <v>68</v>
      </c>
      <c r="CF2" s="26" t="s">
        <v>55</v>
      </c>
      <c r="CG2" s="26" t="s">
        <v>69</v>
      </c>
      <c r="CH2" s="26" t="s">
        <v>70</v>
      </c>
      <c r="CI2" s="26" t="s">
        <v>71</v>
      </c>
      <c r="CJ2" s="26" t="s">
        <v>55</v>
      </c>
      <c r="CK2" s="26" t="s">
        <v>72</v>
      </c>
      <c r="CL2" s="26" t="s">
        <v>73</v>
      </c>
      <c r="CM2" s="26" t="s">
        <v>74</v>
      </c>
      <c r="CN2" s="17" t="s">
        <v>75</v>
      </c>
      <c r="CO2" s="28" t="s">
        <v>76</v>
      </c>
      <c r="CP2" s="28" t="s">
        <v>77</v>
      </c>
    </row>
    <row r="3" spans="1:94" ht="10.8" customHeight="1" x14ac:dyDescent="0.3">
      <c r="A3" s="2">
        <v>1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80</v>
      </c>
      <c r="H3" s="3" t="s">
        <v>83</v>
      </c>
      <c r="I3" s="3">
        <v>3</v>
      </c>
      <c r="J3" s="2">
        <v>16778469</v>
      </c>
      <c r="K3" s="4" t="s">
        <v>84</v>
      </c>
      <c r="L3" s="4" t="s">
        <v>85</v>
      </c>
      <c r="M3" s="4" t="s">
        <v>86</v>
      </c>
      <c r="N3" s="4" t="s">
        <v>87</v>
      </c>
      <c r="O3" s="4">
        <v>3164911939</v>
      </c>
      <c r="P3" s="4" t="s">
        <v>88</v>
      </c>
      <c r="Q3" s="5">
        <v>45352</v>
      </c>
      <c r="R3" s="5">
        <v>45594</v>
      </c>
      <c r="S3" s="6">
        <f t="shared" ref="S3:S19" ca="1" si="0">IFERROR(INT(T3/30),0)</f>
        <v>7</v>
      </c>
      <c r="T3" s="6" cm="1">
        <f t="array" aca="1" ref="T3" ca="1">IFERROR(SUMPRODUCT((DAY(Q3+ROW(INDIRECT("1:"&amp;R3-Q3)))&lt;&gt;31)*1),0)</f>
        <v>238</v>
      </c>
      <c r="U3" s="6">
        <f ca="1">(T3-S3*30)</f>
        <v>28</v>
      </c>
      <c r="V3" s="6" t="s">
        <v>89</v>
      </c>
      <c r="W3" s="6"/>
      <c r="X3" s="6" t="s">
        <v>90</v>
      </c>
      <c r="Y3" s="6" t="s">
        <v>91</v>
      </c>
      <c r="Z3" s="5">
        <v>43153</v>
      </c>
      <c r="AA3" s="5">
        <v>44613</v>
      </c>
      <c r="AB3" s="6">
        <f t="shared" ref="AB3:AB19" ca="1" si="1">IFERROR(INT(AC3/30),0)</f>
        <v>47</v>
      </c>
      <c r="AC3" s="6" cm="1">
        <f t="array" aca="1" ref="AC3" ca="1">IFERROR(SUMPRODUCT((DAY(Z3+ROW(INDIRECT("1:"&amp;AA3-Z3)))&lt;&gt;31)*1),0)</f>
        <v>1432</v>
      </c>
      <c r="AD3" s="6">
        <f t="shared" ref="AD3:AD19" ca="1" si="2">IFERROR((AC3-AB3*30),0)</f>
        <v>22</v>
      </c>
      <c r="AE3" s="6" t="s">
        <v>92</v>
      </c>
      <c r="AF3" s="6" t="s">
        <v>93</v>
      </c>
      <c r="AG3" s="5">
        <v>39615</v>
      </c>
      <c r="AH3" s="5">
        <v>40595</v>
      </c>
      <c r="AI3" s="6">
        <f t="shared" ref="AI3:AI19" ca="1" si="3">IFERROR(INT(AJ3/30),0)</f>
        <v>32</v>
      </c>
      <c r="AJ3" s="6" cm="1">
        <f t="array" aca="1" ref="AJ3" ca="1">IFERROR(SUMPRODUCT((DAY(AG3+ROW(INDIRECT("1:"&amp;AH3-AG3)))&lt;&gt;31)*1),0)</f>
        <v>961</v>
      </c>
      <c r="AK3" s="6">
        <f t="shared" ref="AK3:AK19" ca="1" si="4">IFERROR((AJ3-AI3*30),0)</f>
        <v>1</v>
      </c>
      <c r="AL3" s="6" t="s">
        <v>94</v>
      </c>
      <c r="AM3" s="6" t="s">
        <v>95</v>
      </c>
      <c r="AN3" s="6"/>
      <c r="AO3" s="6"/>
      <c r="AP3" s="6">
        <f t="shared" ref="AP3:AP19" ca="1" si="5">IFERROR(INT(AQ3/30),0)</f>
        <v>0</v>
      </c>
      <c r="AQ3" s="6" cm="1">
        <f t="array" aca="1" ref="AQ3" ca="1">IFERROR(SUMPRODUCT((DAY(AN3+ROW(INDIRECT("1:"&amp;AO3-AN3)))&lt;&gt;31)*1),0)</f>
        <v>0</v>
      </c>
      <c r="AR3" s="6">
        <f t="shared" ref="AR3:AR19" ca="1" si="6">IFERROR((AQ3-AP3*30),0)</f>
        <v>0</v>
      </c>
      <c r="AS3" s="6"/>
      <c r="AT3" s="6"/>
      <c r="AU3" s="6"/>
      <c r="AV3" s="6"/>
      <c r="AW3" s="6">
        <f t="shared" ref="AW3:AW19" ca="1" si="7">IFERROR(INT(AX3/30),0)</f>
        <v>0</v>
      </c>
      <c r="AX3" s="6" cm="1">
        <f t="array" aca="1" ref="AX3" ca="1">IFERROR(SUMPRODUCT((DAY(AU3+ROW(INDIRECT("1:"&amp;AV3-AU3)))&lt;&gt;31)*1),0)</f>
        <v>0</v>
      </c>
      <c r="AY3" s="6">
        <f t="shared" ref="AY3:AY19" ca="1" si="8">IFERROR((AX3-AW3*30),0)</f>
        <v>0</v>
      </c>
      <c r="AZ3" s="6"/>
      <c r="BA3" s="6"/>
      <c r="BB3" s="6"/>
      <c r="BC3" s="6"/>
      <c r="BD3" s="6">
        <f t="shared" ref="BD3:BD19" ca="1" si="9">IFERROR(INT(BE3/30),0)</f>
        <v>0</v>
      </c>
      <c r="BE3" s="6" cm="1">
        <f t="array" aca="1" ref="BE3" ca="1">IFERROR(SUMPRODUCT((DAY(BB3+ROW(INDIRECT("1:"&amp;BC3-BB3)))&lt;&gt;31)*1),0)</f>
        <v>0</v>
      </c>
      <c r="BF3" s="6">
        <f t="shared" ref="BF3:BF19" ca="1" si="10">IFERROR((BE3-BD3*30),0)</f>
        <v>0</v>
      </c>
      <c r="BG3" s="6"/>
      <c r="BH3" s="6"/>
      <c r="BI3" s="6">
        <f ca="1">S3+AB3+AI3+AP3+AW3+BD3</f>
        <v>86</v>
      </c>
      <c r="BJ3" s="6">
        <f t="shared" ref="BJ3:BK18" ca="1" si="11">T3+AC3+AJ3+AQ3+AX3+BE3</f>
        <v>2631</v>
      </c>
      <c r="BK3" s="6">
        <f t="shared" ca="1" si="11"/>
        <v>51</v>
      </c>
      <c r="BL3" s="7">
        <v>35640</v>
      </c>
      <c r="BM3" s="6" t="s">
        <v>96</v>
      </c>
      <c r="BN3" s="6"/>
      <c r="BO3" s="6"/>
      <c r="BP3" s="5">
        <v>35569</v>
      </c>
      <c r="BQ3" s="6">
        <f t="shared" ref="BQ3:BQ19" ca="1" si="12">IF(BP3=0,0,IFERROR(DATEDIF(BP3,TODAY(),"M"),0))</f>
        <v>341</v>
      </c>
      <c r="BR3" s="6"/>
      <c r="BS3" s="6"/>
      <c r="BT3" s="6"/>
      <c r="BU3" s="6"/>
      <c r="BV3" s="6">
        <f t="shared" ref="BV3:BV19" ca="1" si="13">IF(BU3=0,0,IFERROR(DATEDIF(BU3,TODAY(),"M"),0))</f>
        <v>0</v>
      </c>
      <c r="BW3" s="6"/>
      <c r="BX3" s="6"/>
      <c r="BY3" s="6"/>
      <c r="BZ3" s="6">
        <f t="shared" ref="BZ3:BZ19" ca="1" si="14">IF(BY3=0,0,IFERROR(DATEDIF(BY3,TODAY(),"M"),0))</f>
        <v>0</v>
      </c>
      <c r="CA3" s="6"/>
      <c r="CB3" s="6"/>
      <c r="CC3" s="6"/>
      <c r="CD3" s="6">
        <f t="shared" ref="CD3:CD19" ca="1" si="15">IF(CC3=0,0,IFERROR(DATEDIF(CC3,TODAY(),"M"),0))</f>
        <v>0</v>
      </c>
      <c r="CE3" s="6"/>
      <c r="CF3" s="6"/>
      <c r="CG3" s="6"/>
      <c r="CH3" s="6">
        <f t="shared" ref="CH3:CH19" ca="1" si="16">IF(CG3=0,0,IFERROR(DATEDIF(CG3,TODAY(),"M"),0))</f>
        <v>0</v>
      </c>
      <c r="CI3" s="6"/>
      <c r="CJ3" s="6"/>
      <c r="CK3" s="6"/>
      <c r="CL3" s="6">
        <f t="shared" ref="CL3:CL19" ca="1" si="17">IF(CK3=0,0,IFERROR(DATEDIF(CK3,TODAY(),"M"),0))</f>
        <v>0</v>
      </c>
      <c r="CM3" s="6"/>
      <c r="CO3" s="8">
        <f ca="1">BI3/12</f>
        <v>7.166666666666667</v>
      </c>
      <c r="CP3" s="9" t="str">
        <f ca="1">CONCATENATE(INT(CO3)," Años ",ROUND((CO3-INT(CO3))*12,0)," meses")</f>
        <v>7 Años 2 meses</v>
      </c>
    </row>
    <row r="4" spans="1:94" ht="10.8" customHeight="1" x14ac:dyDescent="0.3">
      <c r="A4" s="2">
        <v>2</v>
      </c>
      <c r="B4" s="3" t="s">
        <v>97</v>
      </c>
      <c r="C4" s="3" t="s">
        <v>79</v>
      </c>
      <c r="D4" s="3" t="s">
        <v>80</v>
      </c>
      <c r="E4" s="3" t="s">
        <v>98</v>
      </c>
      <c r="F4" s="3" t="s">
        <v>99</v>
      </c>
      <c r="G4" s="3" t="s">
        <v>80</v>
      </c>
      <c r="H4" s="3" t="s">
        <v>100</v>
      </c>
      <c r="I4" s="3">
        <v>8</v>
      </c>
      <c r="J4" s="3">
        <v>1121338539</v>
      </c>
      <c r="K4" s="4" t="s">
        <v>101</v>
      </c>
      <c r="L4" s="4" t="s">
        <v>102</v>
      </c>
      <c r="M4" s="4" t="s">
        <v>103</v>
      </c>
      <c r="N4" s="4" t="s">
        <v>104</v>
      </c>
      <c r="O4" s="4">
        <v>3023626058</v>
      </c>
      <c r="P4" s="4" t="s">
        <v>105</v>
      </c>
      <c r="Q4" s="5">
        <v>45366</v>
      </c>
      <c r="R4" s="5">
        <v>45594</v>
      </c>
      <c r="S4" s="6">
        <f t="shared" ca="1" si="0"/>
        <v>7</v>
      </c>
      <c r="T4" s="6" cm="1">
        <f t="array" aca="1" ref="T4" ca="1">IFERROR(SUMPRODUCT((DAY(Q4+ROW(INDIRECT("1:"&amp;R4-Q4)))&lt;&gt;31)*1),0)</f>
        <v>224</v>
      </c>
      <c r="U4" s="6">
        <f t="shared" ref="U4:U19" ca="1" si="18">IFERROR((T4-S4*30),0)</f>
        <v>14</v>
      </c>
      <c r="V4" s="6" t="s">
        <v>106</v>
      </c>
      <c r="W4" s="6" t="s">
        <v>80</v>
      </c>
      <c r="X4" s="6" t="s">
        <v>107</v>
      </c>
      <c r="Y4" s="10" t="s">
        <v>108</v>
      </c>
      <c r="Z4" s="5">
        <v>44958</v>
      </c>
      <c r="AA4" s="5">
        <v>45291</v>
      </c>
      <c r="AB4" s="6">
        <f t="shared" ca="1" si="1"/>
        <v>10</v>
      </c>
      <c r="AC4" s="6" cm="1">
        <f t="array" aca="1" ref="AC4" ca="1">IFERROR(SUMPRODUCT((DAY(Z4+ROW(INDIRECT("1:"&amp;AA4-Z4)))&lt;&gt;31)*1),0)</f>
        <v>327</v>
      </c>
      <c r="AD4" s="6">
        <f t="shared" ca="1" si="2"/>
        <v>27</v>
      </c>
      <c r="AE4" s="6" t="s">
        <v>106</v>
      </c>
      <c r="AF4" s="6" t="s">
        <v>109</v>
      </c>
      <c r="AG4" s="5">
        <v>44682</v>
      </c>
      <c r="AH4" s="11">
        <v>44926</v>
      </c>
      <c r="AI4" s="6">
        <f t="shared" ca="1" si="3"/>
        <v>7</v>
      </c>
      <c r="AJ4" s="6" cm="1">
        <f t="array" aca="1" ref="AJ4" ca="1">IFERROR(SUMPRODUCT((DAY(AG4+ROW(INDIRECT("1:"&amp;AH4-AG4)))&lt;&gt;31)*1),0)</f>
        <v>239</v>
      </c>
      <c r="AK4" s="6">
        <f t="shared" ca="1" si="4"/>
        <v>29</v>
      </c>
      <c r="AL4" s="6" t="s">
        <v>106</v>
      </c>
      <c r="AM4" s="6" t="s">
        <v>110</v>
      </c>
      <c r="AN4" s="6"/>
      <c r="AO4" s="6"/>
      <c r="AP4" s="6">
        <f t="shared" ca="1" si="5"/>
        <v>0</v>
      </c>
      <c r="AQ4" s="6" cm="1">
        <f t="array" aca="1" ref="AQ4" ca="1">IFERROR(SUMPRODUCT((DAY(AN4+ROW(INDIRECT("1:"&amp;AO4-AN4)))&lt;&gt;31)*1),0)</f>
        <v>0</v>
      </c>
      <c r="AR4" s="6">
        <f t="shared" ca="1" si="6"/>
        <v>0</v>
      </c>
      <c r="AS4" s="6"/>
      <c r="AT4" s="6"/>
      <c r="AU4" s="6"/>
      <c r="AV4" s="6"/>
      <c r="AW4" s="6">
        <f t="shared" ca="1" si="7"/>
        <v>0</v>
      </c>
      <c r="AX4" s="6" cm="1">
        <f t="array" aca="1" ref="AX4" ca="1">IFERROR(SUMPRODUCT((DAY(AU4+ROW(INDIRECT("1:"&amp;AV4-AU4)))&lt;&gt;31)*1),0)</f>
        <v>0</v>
      </c>
      <c r="AY4" s="6">
        <f t="shared" ca="1" si="8"/>
        <v>0</v>
      </c>
      <c r="AZ4" s="6"/>
      <c r="BA4" s="6"/>
      <c r="BB4" s="6"/>
      <c r="BC4" s="6"/>
      <c r="BD4" s="6">
        <f t="shared" ca="1" si="9"/>
        <v>0</v>
      </c>
      <c r="BE4" s="6" cm="1">
        <f t="array" aca="1" ref="BE4" ca="1">IFERROR(SUMPRODUCT((DAY(BB4+ROW(INDIRECT("1:"&amp;BC4-BB4)))&lt;&gt;31)*1),0)</f>
        <v>0</v>
      </c>
      <c r="BF4" s="6">
        <f t="shared" ca="1" si="10"/>
        <v>0</v>
      </c>
      <c r="BG4" s="6"/>
      <c r="BH4" s="6"/>
      <c r="BI4" s="6">
        <f t="shared" ref="BI4:BK19" ca="1" si="19">S4+AB4+AI4+AP4+AW4+BD4</f>
        <v>24</v>
      </c>
      <c r="BJ4" s="6">
        <f t="shared" ca="1" si="11"/>
        <v>790</v>
      </c>
      <c r="BK4" s="6">
        <f t="shared" ca="1" si="11"/>
        <v>70</v>
      </c>
      <c r="BL4" s="7">
        <v>44445</v>
      </c>
      <c r="BM4" s="6" t="s">
        <v>106</v>
      </c>
      <c r="BN4" s="6" t="s">
        <v>111</v>
      </c>
      <c r="BO4" s="6">
        <v>235265</v>
      </c>
      <c r="BP4" s="5">
        <v>44407</v>
      </c>
      <c r="BQ4" s="6">
        <f t="shared" ca="1" si="12"/>
        <v>51</v>
      </c>
      <c r="BR4" s="6"/>
      <c r="BS4" s="6"/>
      <c r="BT4" s="6"/>
      <c r="BU4" s="6"/>
      <c r="BV4" s="6">
        <f t="shared" ca="1" si="13"/>
        <v>0</v>
      </c>
      <c r="BW4" s="6"/>
      <c r="BX4" s="6"/>
      <c r="BY4" s="6"/>
      <c r="BZ4" s="6">
        <f t="shared" ca="1" si="14"/>
        <v>0</v>
      </c>
      <c r="CA4" s="6"/>
      <c r="CB4" s="6"/>
      <c r="CC4" s="6"/>
      <c r="CD4" s="6">
        <f t="shared" ca="1" si="15"/>
        <v>0</v>
      </c>
      <c r="CE4" s="6"/>
      <c r="CF4" s="6"/>
      <c r="CG4" s="6"/>
      <c r="CH4" s="6">
        <f t="shared" ca="1" si="16"/>
        <v>0</v>
      </c>
      <c r="CI4" s="6"/>
      <c r="CJ4" s="6"/>
      <c r="CK4" s="6"/>
      <c r="CL4" s="6">
        <f t="shared" ca="1" si="17"/>
        <v>0</v>
      </c>
      <c r="CM4" s="6"/>
      <c r="CN4" s="2"/>
      <c r="CO4" s="8">
        <f t="shared" ref="CO4:CO19" ca="1" si="20">BI4/12</f>
        <v>2</v>
      </c>
      <c r="CP4" s="9" t="str">
        <f t="shared" ref="CP4:CP19" ca="1" si="21">CONCATENATE(INT(CO4)," Años ",ROUND((CO4-INT(CO4))*12,0)," meses")</f>
        <v>2 Años 0 meses</v>
      </c>
    </row>
    <row r="5" spans="1:94" ht="10.8" customHeight="1" x14ac:dyDescent="0.3">
      <c r="A5" s="2">
        <v>4</v>
      </c>
      <c r="B5" s="3" t="s">
        <v>112</v>
      </c>
      <c r="C5" s="3" t="s">
        <v>79</v>
      </c>
      <c r="D5" s="3" t="s">
        <v>80</v>
      </c>
      <c r="E5" s="3" t="s">
        <v>113</v>
      </c>
      <c r="F5" s="3" t="s">
        <v>114</v>
      </c>
      <c r="G5" s="3" t="s">
        <v>80</v>
      </c>
      <c r="H5" s="3" t="s">
        <v>83</v>
      </c>
      <c r="I5" s="3">
        <v>2</v>
      </c>
      <c r="J5" s="2">
        <v>31322353</v>
      </c>
      <c r="K5" s="4" t="s">
        <v>115</v>
      </c>
      <c r="L5" s="4" t="s">
        <v>102</v>
      </c>
      <c r="M5" s="4"/>
      <c r="N5" s="6" t="s">
        <v>116</v>
      </c>
      <c r="O5" s="6">
        <v>3215940960</v>
      </c>
      <c r="P5" s="6" t="s">
        <v>117</v>
      </c>
      <c r="Q5" s="5">
        <v>45366</v>
      </c>
      <c r="R5" s="5">
        <v>45594</v>
      </c>
      <c r="S5" s="6">
        <f t="shared" ca="1" si="0"/>
        <v>7</v>
      </c>
      <c r="T5" s="6" cm="1">
        <f t="array" aca="1" ref="T5" ca="1">IFERROR(SUMPRODUCT((DAY(Q5+ROW(INDIRECT("1:"&amp;R5-Q5)))&lt;&gt;31)*1),0)</f>
        <v>224</v>
      </c>
      <c r="U5" s="6">
        <f t="shared" ca="1" si="18"/>
        <v>14</v>
      </c>
      <c r="V5" s="6" t="s">
        <v>89</v>
      </c>
      <c r="W5" s="6"/>
      <c r="X5" s="6"/>
      <c r="Y5" s="6" t="s">
        <v>118</v>
      </c>
      <c r="Z5" s="5"/>
      <c r="AA5" s="5"/>
      <c r="AB5" s="6">
        <f t="shared" ca="1" si="1"/>
        <v>0</v>
      </c>
      <c r="AC5" s="6" cm="1">
        <f t="array" aca="1" ref="AC5" ca="1">IFERROR(SUMPRODUCT((DAY(Z5+ROW(INDIRECT("1:"&amp;AA5-Z5)))&lt;&gt;31)*1),0)</f>
        <v>0</v>
      </c>
      <c r="AD5" s="6">
        <f t="shared" ca="1" si="2"/>
        <v>0</v>
      </c>
      <c r="AE5" s="6"/>
      <c r="AF5" s="6"/>
      <c r="AG5" s="5"/>
      <c r="AH5" s="5"/>
      <c r="AI5" s="6">
        <f t="shared" ca="1" si="3"/>
        <v>0</v>
      </c>
      <c r="AJ5" s="6" cm="1">
        <f t="array" aca="1" ref="AJ5" ca="1">IFERROR(SUMPRODUCT((DAY(AG5+ROW(INDIRECT("1:"&amp;AH5-AG5)))&lt;&gt;31)*1),0)</f>
        <v>0</v>
      </c>
      <c r="AK5" s="6">
        <f t="shared" ca="1" si="4"/>
        <v>0</v>
      </c>
      <c r="AL5" s="6"/>
      <c r="AM5" s="6"/>
      <c r="AN5" s="5"/>
      <c r="AO5" s="11"/>
      <c r="AP5" s="6">
        <f t="shared" ca="1" si="5"/>
        <v>0</v>
      </c>
      <c r="AQ5" s="6" cm="1">
        <f t="array" aca="1" ref="AQ5" ca="1">IFERROR(SUMPRODUCT((DAY(AN5+ROW(INDIRECT("1:"&amp;AO5-AN5)))&lt;&gt;31)*1),0)</f>
        <v>0</v>
      </c>
      <c r="AR5" s="6">
        <f t="shared" ca="1" si="6"/>
        <v>0</v>
      </c>
      <c r="AS5" s="6"/>
      <c r="AT5" s="6"/>
      <c r="AU5" s="6"/>
      <c r="AV5" s="6"/>
      <c r="AW5" s="6">
        <f t="shared" ca="1" si="7"/>
        <v>0</v>
      </c>
      <c r="AX5" s="6" cm="1">
        <f t="array" aca="1" ref="AX5" ca="1">IFERROR(SUMPRODUCT((DAY(AU5+ROW(INDIRECT("1:"&amp;AV5-AU5)))&lt;&gt;31)*1),0)</f>
        <v>0</v>
      </c>
      <c r="AY5" s="6">
        <f t="shared" ca="1" si="8"/>
        <v>0</v>
      </c>
      <c r="AZ5" s="6"/>
      <c r="BA5" s="6"/>
      <c r="BB5" s="6"/>
      <c r="BC5" s="6"/>
      <c r="BD5" s="6">
        <f t="shared" ca="1" si="9"/>
        <v>0</v>
      </c>
      <c r="BE5" s="6" cm="1">
        <f t="array" aca="1" ref="BE5" ca="1">IFERROR(SUMPRODUCT((DAY(BB5+ROW(INDIRECT("1:"&amp;BC5-BB5)))&lt;&gt;31)*1),0)</f>
        <v>0</v>
      </c>
      <c r="BF5" s="6">
        <f t="shared" ca="1" si="10"/>
        <v>0</v>
      </c>
      <c r="BG5" s="6"/>
      <c r="BH5" s="6"/>
      <c r="BI5" s="6">
        <f t="shared" ca="1" si="19"/>
        <v>7</v>
      </c>
      <c r="BJ5" s="6">
        <f t="shared" ca="1" si="11"/>
        <v>224</v>
      </c>
      <c r="BK5" s="6">
        <f t="shared" ca="1" si="11"/>
        <v>14</v>
      </c>
      <c r="BL5" s="7"/>
      <c r="BM5" s="6" t="s">
        <v>119</v>
      </c>
      <c r="BN5" s="6"/>
      <c r="BO5" s="6"/>
      <c r="BP5" s="11">
        <v>42349</v>
      </c>
      <c r="BQ5" s="6">
        <f t="shared" ca="1" si="12"/>
        <v>118</v>
      </c>
      <c r="BR5" s="6"/>
      <c r="BS5" s="6"/>
      <c r="BT5" s="6"/>
      <c r="BU5" s="6"/>
      <c r="BV5" s="6">
        <f t="shared" ca="1" si="13"/>
        <v>0</v>
      </c>
      <c r="BW5" s="6"/>
      <c r="BX5" s="6"/>
      <c r="BY5" s="6"/>
      <c r="BZ5" s="6">
        <f t="shared" ca="1" si="14"/>
        <v>0</v>
      </c>
      <c r="CA5" s="6"/>
      <c r="CB5" s="6"/>
      <c r="CC5" s="6"/>
      <c r="CD5" s="6">
        <f t="shared" ca="1" si="15"/>
        <v>0</v>
      </c>
      <c r="CE5" s="6"/>
      <c r="CF5" s="6"/>
      <c r="CG5" s="6"/>
      <c r="CH5" s="6">
        <f t="shared" ca="1" si="16"/>
        <v>0</v>
      </c>
      <c r="CI5" s="6"/>
      <c r="CJ5" s="6"/>
      <c r="CK5" s="6"/>
      <c r="CL5" s="6">
        <f t="shared" ca="1" si="17"/>
        <v>0</v>
      </c>
      <c r="CM5" s="6"/>
      <c r="CN5" s="3" t="s">
        <v>120</v>
      </c>
      <c r="CO5" s="8">
        <f t="shared" ca="1" si="20"/>
        <v>0.58333333333333337</v>
      </c>
      <c r="CP5" s="9" t="str">
        <f t="shared" ca="1" si="21"/>
        <v>0 Años 7 meses</v>
      </c>
    </row>
    <row r="6" spans="1:94" ht="10.8" customHeight="1" x14ac:dyDescent="0.3">
      <c r="A6" s="2">
        <v>5</v>
      </c>
      <c r="B6" s="3" t="s">
        <v>121</v>
      </c>
      <c r="C6" s="3" t="s">
        <v>122</v>
      </c>
      <c r="D6" s="3" t="s">
        <v>123</v>
      </c>
      <c r="E6" s="3" t="s">
        <v>81</v>
      </c>
      <c r="F6" s="3" t="s">
        <v>124</v>
      </c>
      <c r="G6" s="3" t="s">
        <v>125</v>
      </c>
      <c r="H6" s="3" t="s">
        <v>126</v>
      </c>
      <c r="I6" s="3">
        <v>5</v>
      </c>
      <c r="J6" s="3">
        <v>1130615243</v>
      </c>
      <c r="K6" s="4" t="s">
        <v>127</v>
      </c>
      <c r="L6" s="4" t="s">
        <v>102</v>
      </c>
      <c r="M6" s="4" t="s">
        <v>103</v>
      </c>
      <c r="N6" s="6" t="s">
        <v>128</v>
      </c>
      <c r="O6" s="6">
        <v>3045459002</v>
      </c>
      <c r="P6" s="6" t="s">
        <v>129</v>
      </c>
      <c r="Q6" s="5">
        <v>45366</v>
      </c>
      <c r="R6" s="5">
        <v>45594</v>
      </c>
      <c r="S6" s="6">
        <f t="shared" ca="1" si="0"/>
        <v>7</v>
      </c>
      <c r="T6" s="6" cm="1">
        <f t="array" aca="1" ref="T6" ca="1">IFERROR(SUMPRODUCT((DAY(Q6+ROW(INDIRECT("1:"&amp;R6-Q6)))&lt;&gt;31)*1),0)</f>
        <v>224</v>
      </c>
      <c r="U6" s="6">
        <f t="shared" ca="1" si="18"/>
        <v>14</v>
      </c>
      <c r="V6" s="6" t="s">
        <v>89</v>
      </c>
      <c r="W6" s="6" t="s">
        <v>130</v>
      </c>
      <c r="X6" s="6" t="s">
        <v>107</v>
      </c>
      <c r="Y6" s="6" t="s">
        <v>131</v>
      </c>
      <c r="Z6" s="11">
        <v>44925</v>
      </c>
      <c r="AA6" s="11">
        <v>45291</v>
      </c>
      <c r="AB6" s="6">
        <f t="shared" ca="1" si="1"/>
        <v>11</v>
      </c>
      <c r="AC6" s="6" cm="1">
        <f t="array" aca="1" ref="AC6" ca="1">IFERROR(SUMPRODUCT((DAY(Z6+ROW(INDIRECT("1:"&amp;AA6-Z6)))&lt;&gt;31)*1),0)</f>
        <v>358</v>
      </c>
      <c r="AD6" s="6">
        <f t="shared" ca="1" si="2"/>
        <v>28</v>
      </c>
      <c r="AE6" s="6" t="s">
        <v>106</v>
      </c>
      <c r="AF6" s="6" t="s">
        <v>132</v>
      </c>
      <c r="AG6" s="5">
        <v>44682</v>
      </c>
      <c r="AH6" s="11">
        <v>44926</v>
      </c>
      <c r="AI6" s="6">
        <f t="shared" ca="1" si="3"/>
        <v>7</v>
      </c>
      <c r="AJ6" s="6" cm="1">
        <f t="array" aca="1" ref="AJ6" ca="1">IFERROR(SUMPRODUCT((DAY(AG6+ROW(INDIRECT("1:"&amp;AH6-AG6)))&lt;&gt;31)*1),0)</f>
        <v>239</v>
      </c>
      <c r="AK6" s="6">
        <f t="shared" ca="1" si="4"/>
        <v>29</v>
      </c>
      <c r="AL6" s="6" t="s">
        <v>133</v>
      </c>
      <c r="AM6" s="6" t="s">
        <v>134</v>
      </c>
      <c r="AN6" s="6"/>
      <c r="AO6" s="6"/>
      <c r="AP6" s="6">
        <f t="shared" ca="1" si="5"/>
        <v>0</v>
      </c>
      <c r="AQ6" s="6" cm="1">
        <f t="array" aca="1" ref="AQ6" ca="1">IFERROR(SUMPRODUCT((DAY(AN6+ROW(INDIRECT("1:"&amp;AO6-AN6)))&lt;&gt;31)*1),0)</f>
        <v>0</v>
      </c>
      <c r="AR6" s="6">
        <f t="shared" ca="1" si="6"/>
        <v>0</v>
      </c>
      <c r="AS6" s="6"/>
      <c r="AT6" s="6"/>
      <c r="AU6" s="6"/>
      <c r="AV6" s="6"/>
      <c r="AW6" s="6">
        <f t="shared" ca="1" si="7"/>
        <v>0</v>
      </c>
      <c r="AX6" s="6" cm="1">
        <f t="array" aca="1" ref="AX6" ca="1">IFERROR(SUMPRODUCT((DAY(AU6+ROW(INDIRECT("1:"&amp;AV6-AU6)))&lt;&gt;31)*1),0)</f>
        <v>0</v>
      </c>
      <c r="AY6" s="6">
        <f t="shared" ca="1" si="8"/>
        <v>0</v>
      </c>
      <c r="AZ6" s="6"/>
      <c r="BA6" s="6"/>
      <c r="BB6" s="6"/>
      <c r="BC6" s="6"/>
      <c r="BD6" s="6">
        <f t="shared" ca="1" si="9"/>
        <v>0</v>
      </c>
      <c r="BE6" s="6" cm="1">
        <f t="array" aca="1" ref="BE6" ca="1">IFERROR(SUMPRODUCT((DAY(BB6+ROW(INDIRECT("1:"&amp;BC6-BB6)))&lt;&gt;31)*1),0)</f>
        <v>0</v>
      </c>
      <c r="BF6" s="6">
        <f t="shared" ca="1" si="10"/>
        <v>0</v>
      </c>
      <c r="BG6" s="6"/>
      <c r="BH6" s="6"/>
      <c r="BI6" s="6">
        <f t="shared" ca="1" si="19"/>
        <v>25</v>
      </c>
      <c r="BJ6" s="6">
        <f t="shared" ca="1" si="11"/>
        <v>821</v>
      </c>
      <c r="BK6" s="6">
        <f t="shared" ca="1" si="11"/>
        <v>71</v>
      </c>
      <c r="BL6" s="7">
        <v>42142</v>
      </c>
      <c r="BM6" s="6" t="s">
        <v>106</v>
      </c>
      <c r="BN6" s="6" t="s">
        <v>135</v>
      </c>
      <c r="BO6" s="6">
        <v>150646</v>
      </c>
      <c r="BP6" s="5">
        <v>40684</v>
      </c>
      <c r="BQ6" s="6">
        <f t="shared" ca="1" si="12"/>
        <v>173</v>
      </c>
      <c r="BR6" s="6"/>
      <c r="BS6" s="6"/>
      <c r="BT6" s="6"/>
      <c r="BU6" s="6"/>
      <c r="BV6" s="6">
        <f t="shared" ca="1" si="13"/>
        <v>0</v>
      </c>
      <c r="BW6" s="6" t="s">
        <v>136</v>
      </c>
      <c r="BX6" s="6" t="s">
        <v>135</v>
      </c>
      <c r="BY6" s="5">
        <v>42608</v>
      </c>
      <c r="BZ6" s="6">
        <f t="shared" ca="1" si="14"/>
        <v>110</v>
      </c>
      <c r="CA6" s="6"/>
      <c r="CB6" s="6"/>
      <c r="CC6" s="6"/>
      <c r="CD6" s="6">
        <f t="shared" ca="1" si="15"/>
        <v>0</v>
      </c>
      <c r="CE6" s="6"/>
      <c r="CF6" s="6"/>
      <c r="CG6" s="6"/>
      <c r="CH6" s="6">
        <f t="shared" ca="1" si="16"/>
        <v>0</v>
      </c>
      <c r="CI6" s="6"/>
      <c r="CJ6" s="6"/>
      <c r="CK6" s="6"/>
      <c r="CL6" s="6">
        <f t="shared" ca="1" si="17"/>
        <v>0</v>
      </c>
      <c r="CM6" s="6"/>
      <c r="CN6" s="2"/>
      <c r="CO6" s="8">
        <f t="shared" ca="1" si="20"/>
        <v>2.0833333333333335</v>
      </c>
      <c r="CP6" s="9" t="str">
        <f t="shared" ca="1" si="21"/>
        <v>2 Años 1 meses</v>
      </c>
    </row>
    <row r="7" spans="1:94" ht="10.8" customHeight="1" x14ac:dyDescent="0.3">
      <c r="A7" s="2">
        <v>8</v>
      </c>
      <c r="B7" s="3" t="s">
        <v>137</v>
      </c>
      <c r="C7" s="3" t="s">
        <v>79</v>
      </c>
      <c r="D7" s="3" t="s">
        <v>80</v>
      </c>
      <c r="E7" s="3" t="s">
        <v>81</v>
      </c>
      <c r="F7" s="3" t="s">
        <v>138</v>
      </c>
      <c r="G7" s="3" t="s">
        <v>125</v>
      </c>
      <c r="H7" s="3" t="s">
        <v>139</v>
      </c>
      <c r="I7" s="3">
        <v>20</v>
      </c>
      <c r="J7" s="3">
        <v>1130613522</v>
      </c>
      <c r="K7" s="4" t="s">
        <v>140</v>
      </c>
      <c r="L7" s="4" t="s">
        <v>102</v>
      </c>
      <c r="M7" s="4" t="s">
        <v>103</v>
      </c>
      <c r="N7" s="6" t="s">
        <v>141</v>
      </c>
      <c r="O7" s="6">
        <v>3023385429</v>
      </c>
      <c r="P7" s="6" t="s">
        <v>142</v>
      </c>
      <c r="Q7" s="5">
        <v>45366</v>
      </c>
      <c r="R7" s="5">
        <v>45594</v>
      </c>
      <c r="S7" s="6">
        <f t="shared" ca="1" si="0"/>
        <v>7</v>
      </c>
      <c r="T7" s="6" cm="1">
        <f t="array" aca="1" ref="T7" ca="1">IFERROR(SUMPRODUCT((DAY(Q7+ROW(INDIRECT("1:"&amp;R7-Q7)))&lt;&gt;31)*1),0)</f>
        <v>224</v>
      </c>
      <c r="U7" s="6">
        <f t="shared" ca="1" si="18"/>
        <v>14</v>
      </c>
      <c r="V7" s="6" t="s">
        <v>89</v>
      </c>
      <c r="W7" s="6" t="s">
        <v>80</v>
      </c>
      <c r="X7" s="6" t="s">
        <v>107</v>
      </c>
      <c r="Y7" s="6" t="s">
        <v>108</v>
      </c>
      <c r="Z7" s="5">
        <v>44958</v>
      </c>
      <c r="AA7" s="11">
        <v>45291</v>
      </c>
      <c r="AB7" s="6">
        <f t="shared" ca="1" si="1"/>
        <v>10</v>
      </c>
      <c r="AC7" s="6" cm="1">
        <f t="array" aca="1" ref="AC7" ca="1">IFERROR(SUMPRODUCT((DAY(Z7+ROW(INDIRECT("1:"&amp;AA7-Z7)))&lt;&gt;31)*1),0)</f>
        <v>327</v>
      </c>
      <c r="AD7" s="6">
        <f t="shared" ca="1" si="2"/>
        <v>27</v>
      </c>
      <c r="AE7" s="6" t="s">
        <v>106</v>
      </c>
      <c r="AF7" s="6" t="s">
        <v>143</v>
      </c>
      <c r="AG7" s="5">
        <v>44682</v>
      </c>
      <c r="AH7" s="11">
        <v>44926</v>
      </c>
      <c r="AI7" s="6">
        <f t="shared" ca="1" si="3"/>
        <v>7</v>
      </c>
      <c r="AJ7" s="6" cm="1">
        <f t="array" aca="1" ref="AJ7" ca="1">IFERROR(SUMPRODUCT((DAY(AG7+ROW(INDIRECT("1:"&amp;AH7-AG7)))&lt;&gt;31)*1),0)</f>
        <v>239</v>
      </c>
      <c r="AK7" s="6">
        <f t="shared" ca="1" si="4"/>
        <v>29</v>
      </c>
      <c r="AL7" s="6" t="s">
        <v>106</v>
      </c>
      <c r="AM7" s="6" t="s">
        <v>144</v>
      </c>
      <c r="AN7" s="6"/>
      <c r="AO7" s="6"/>
      <c r="AP7" s="6">
        <f t="shared" ca="1" si="5"/>
        <v>0</v>
      </c>
      <c r="AQ7" s="6" cm="1">
        <f t="array" aca="1" ref="AQ7" ca="1">IFERROR(SUMPRODUCT((DAY(AN7+ROW(INDIRECT("1:"&amp;AO7-AN7)))&lt;&gt;31)*1),0)</f>
        <v>0</v>
      </c>
      <c r="AR7" s="6">
        <f t="shared" ca="1" si="6"/>
        <v>0</v>
      </c>
      <c r="AS7" s="6"/>
      <c r="AT7" s="6"/>
      <c r="AU7" s="6"/>
      <c r="AV7" s="6"/>
      <c r="AW7" s="6">
        <f t="shared" ca="1" si="7"/>
        <v>0</v>
      </c>
      <c r="AX7" s="6" cm="1">
        <f t="array" aca="1" ref="AX7" ca="1">IFERROR(SUMPRODUCT((DAY(AU7+ROW(INDIRECT("1:"&amp;AV7-AU7)))&lt;&gt;31)*1),0)</f>
        <v>0</v>
      </c>
      <c r="AY7" s="6">
        <f t="shared" ca="1" si="8"/>
        <v>0</v>
      </c>
      <c r="AZ7" s="6"/>
      <c r="BA7" s="6"/>
      <c r="BB7" s="6"/>
      <c r="BC7" s="6"/>
      <c r="BD7" s="6">
        <f t="shared" ca="1" si="9"/>
        <v>0</v>
      </c>
      <c r="BE7" s="6" cm="1">
        <f t="array" aca="1" ref="BE7" ca="1">IFERROR(SUMPRODUCT((DAY(BB7+ROW(INDIRECT("1:"&amp;BC7-BB7)))&lt;&gt;31)*1),0)</f>
        <v>0</v>
      </c>
      <c r="BF7" s="6">
        <f t="shared" ca="1" si="10"/>
        <v>0</v>
      </c>
      <c r="BG7" s="6"/>
      <c r="BH7" s="6"/>
      <c r="BI7" s="6">
        <f t="shared" ca="1" si="19"/>
        <v>24</v>
      </c>
      <c r="BJ7" s="6">
        <f t="shared" ca="1" si="11"/>
        <v>790</v>
      </c>
      <c r="BK7" s="6">
        <f t="shared" ca="1" si="11"/>
        <v>70</v>
      </c>
      <c r="BL7" s="7">
        <v>43159</v>
      </c>
      <c r="BM7" s="6" t="s">
        <v>106</v>
      </c>
      <c r="BN7" s="6" t="s">
        <v>145</v>
      </c>
      <c r="BO7" s="6">
        <v>179386</v>
      </c>
      <c r="BP7" s="5">
        <v>41144</v>
      </c>
      <c r="BQ7" s="6">
        <f t="shared" ca="1" si="12"/>
        <v>158</v>
      </c>
      <c r="BR7" s="6"/>
      <c r="BS7" s="6"/>
      <c r="BT7" s="6"/>
      <c r="BU7" s="6"/>
      <c r="BV7" s="6">
        <f t="shared" ca="1" si="13"/>
        <v>0</v>
      </c>
      <c r="BW7" s="6"/>
      <c r="BX7" s="6"/>
      <c r="BY7" s="6"/>
      <c r="BZ7" s="6">
        <f t="shared" ca="1" si="14"/>
        <v>0</v>
      </c>
      <c r="CA7" s="6"/>
      <c r="CB7" s="6"/>
      <c r="CC7" s="6"/>
      <c r="CD7" s="6">
        <f t="shared" ca="1" si="15"/>
        <v>0</v>
      </c>
      <c r="CE7" s="6"/>
      <c r="CF7" s="6"/>
      <c r="CG7" s="6"/>
      <c r="CH7" s="6">
        <f t="shared" ca="1" si="16"/>
        <v>0</v>
      </c>
      <c r="CI7" s="6"/>
      <c r="CJ7" s="6"/>
      <c r="CK7" s="6"/>
      <c r="CL7" s="6">
        <f t="shared" ca="1" si="17"/>
        <v>0</v>
      </c>
      <c r="CM7" s="6"/>
      <c r="CN7" s="3" t="s">
        <v>146</v>
      </c>
      <c r="CO7" s="8">
        <f t="shared" ca="1" si="20"/>
        <v>2</v>
      </c>
      <c r="CP7" s="9" t="str">
        <f t="shared" ca="1" si="21"/>
        <v>2 Años 0 meses</v>
      </c>
    </row>
    <row r="8" spans="1:94" ht="10.8" customHeight="1" x14ac:dyDescent="0.3">
      <c r="A8" s="2">
        <v>9</v>
      </c>
      <c r="B8" s="3" t="s">
        <v>147</v>
      </c>
      <c r="C8" s="3" t="s">
        <v>148</v>
      </c>
      <c r="D8" s="3" t="s">
        <v>80</v>
      </c>
      <c r="E8" s="3" t="s">
        <v>149</v>
      </c>
      <c r="F8" s="3" t="s">
        <v>150</v>
      </c>
      <c r="G8" s="3" t="s">
        <v>151</v>
      </c>
      <c r="H8" s="3" t="s">
        <v>152</v>
      </c>
      <c r="I8" s="3">
        <v>20</v>
      </c>
      <c r="J8" s="3">
        <v>67012973</v>
      </c>
      <c r="K8" s="4" t="s">
        <v>153</v>
      </c>
      <c r="L8" s="4" t="s">
        <v>102</v>
      </c>
      <c r="M8" s="4" t="s">
        <v>103</v>
      </c>
      <c r="N8" s="6" t="s">
        <v>154</v>
      </c>
      <c r="O8" s="6">
        <v>3154616183</v>
      </c>
      <c r="P8" s="6" t="s">
        <v>155</v>
      </c>
      <c r="Q8" s="5">
        <v>45366</v>
      </c>
      <c r="R8" s="5">
        <v>45594</v>
      </c>
      <c r="S8" s="6">
        <f t="shared" ca="1" si="0"/>
        <v>7</v>
      </c>
      <c r="T8" s="6" cm="1">
        <f t="array" aca="1" ref="T8" ca="1">IFERROR(SUMPRODUCT((DAY(Q8+ROW(INDIRECT("1:"&amp;R8-Q8)))&lt;&gt;31)*1),0)</f>
        <v>224</v>
      </c>
      <c r="U8" s="6">
        <f t="shared" ca="1" si="18"/>
        <v>14</v>
      </c>
      <c r="V8" s="6" t="s">
        <v>156</v>
      </c>
      <c r="W8" s="6" t="s">
        <v>157</v>
      </c>
      <c r="X8" s="6" t="s">
        <v>107</v>
      </c>
      <c r="Y8" s="6" t="s">
        <v>158</v>
      </c>
      <c r="Z8" s="5">
        <v>44958</v>
      </c>
      <c r="AA8" s="11">
        <v>45291</v>
      </c>
      <c r="AB8" s="6">
        <f t="shared" ca="1" si="1"/>
        <v>10</v>
      </c>
      <c r="AC8" s="6" cm="1">
        <f t="array" aca="1" ref="AC8" ca="1">IFERROR(SUMPRODUCT((DAY(Z8+ROW(INDIRECT("1:"&amp;AA8-Z8)))&lt;&gt;31)*1),0)</f>
        <v>327</v>
      </c>
      <c r="AD8" s="6">
        <f t="shared" ca="1" si="2"/>
        <v>27</v>
      </c>
      <c r="AE8" s="12" t="s">
        <v>159</v>
      </c>
      <c r="AF8" s="6" t="s">
        <v>160</v>
      </c>
      <c r="AG8" s="6"/>
      <c r="AH8" s="6"/>
      <c r="AI8" s="6">
        <f t="shared" ca="1" si="3"/>
        <v>0</v>
      </c>
      <c r="AJ8" s="6" cm="1">
        <f t="array" aca="1" ref="AJ8" ca="1">IFERROR(SUMPRODUCT((DAY(AG8+ROW(INDIRECT("1:"&amp;AH8-AG8)))&lt;&gt;31)*1),0)</f>
        <v>0</v>
      </c>
      <c r="AK8" s="6">
        <f t="shared" ca="1" si="4"/>
        <v>0</v>
      </c>
      <c r="AL8" s="6"/>
      <c r="AM8" s="6"/>
      <c r="AN8" s="6"/>
      <c r="AO8" s="6"/>
      <c r="AP8" s="6">
        <f t="shared" ca="1" si="5"/>
        <v>0</v>
      </c>
      <c r="AQ8" s="6" cm="1">
        <f t="array" aca="1" ref="AQ8" ca="1">IFERROR(SUMPRODUCT((DAY(AN8+ROW(INDIRECT("1:"&amp;AO8-AN8)))&lt;&gt;31)*1),0)</f>
        <v>0</v>
      </c>
      <c r="AR8" s="6">
        <f t="shared" ca="1" si="6"/>
        <v>0</v>
      </c>
      <c r="AS8" s="6"/>
      <c r="AT8" s="6"/>
      <c r="AU8" s="6"/>
      <c r="AV8" s="6"/>
      <c r="AW8" s="6">
        <f t="shared" ca="1" si="7"/>
        <v>0</v>
      </c>
      <c r="AX8" s="6" cm="1">
        <f t="array" aca="1" ref="AX8" ca="1">IFERROR(SUMPRODUCT((DAY(AU8+ROW(INDIRECT("1:"&amp;AV8-AU8)))&lt;&gt;31)*1),0)</f>
        <v>0</v>
      </c>
      <c r="AY8" s="6">
        <f t="shared" ca="1" si="8"/>
        <v>0</v>
      </c>
      <c r="AZ8" s="6"/>
      <c r="BA8" s="6"/>
      <c r="BB8" s="6"/>
      <c r="BC8" s="6"/>
      <c r="BD8" s="6">
        <f t="shared" ca="1" si="9"/>
        <v>0</v>
      </c>
      <c r="BE8" s="6" cm="1">
        <f t="array" aca="1" ref="BE8" ca="1">IFERROR(SUMPRODUCT((DAY(BB8+ROW(INDIRECT("1:"&amp;BC8-BB8)))&lt;&gt;31)*1),0)</f>
        <v>0</v>
      </c>
      <c r="BF8" s="6">
        <f t="shared" ca="1" si="10"/>
        <v>0</v>
      </c>
      <c r="BG8" s="6"/>
      <c r="BH8" s="6"/>
      <c r="BI8" s="6">
        <f t="shared" ca="1" si="19"/>
        <v>17</v>
      </c>
      <c r="BJ8" s="6">
        <f t="shared" ca="1" si="11"/>
        <v>551</v>
      </c>
      <c r="BK8" s="6">
        <f t="shared" ca="1" si="11"/>
        <v>41</v>
      </c>
      <c r="BL8" s="7"/>
      <c r="BM8" s="6" t="s">
        <v>161</v>
      </c>
      <c r="BN8" s="6" t="s">
        <v>162</v>
      </c>
      <c r="BO8" s="6"/>
      <c r="BP8" s="11">
        <v>35750</v>
      </c>
      <c r="BQ8" s="6">
        <f t="shared" ca="1" si="12"/>
        <v>335</v>
      </c>
      <c r="BR8" s="6"/>
      <c r="BS8" s="6"/>
      <c r="BT8" s="6"/>
      <c r="BU8" s="6"/>
      <c r="BV8" s="6">
        <f t="shared" ca="1" si="13"/>
        <v>0</v>
      </c>
      <c r="BW8" s="6"/>
      <c r="BX8" s="6"/>
      <c r="BY8" s="6"/>
      <c r="BZ8" s="6">
        <f t="shared" ca="1" si="14"/>
        <v>0</v>
      </c>
      <c r="CA8" s="6"/>
      <c r="CB8" s="6"/>
      <c r="CC8" s="6"/>
      <c r="CD8" s="6">
        <f t="shared" ca="1" si="15"/>
        <v>0</v>
      </c>
      <c r="CE8" s="6"/>
      <c r="CF8" s="6"/>
      <c r="CG8" s="6"/>
      <c r="CH8" s="6">
        <f t="shared" ca="1" si="16"/>
        <v>0</v>
      </c>
      <c r="CI8" s="6"/>
      <c r="CJ8" s="6"/>
      <c r="CK8" s="6"/>
      <c r="CL8" s="6">
        <f t="shared" ca="1" si="17"/>
        <v>0</v>
      </c>
      <c r="CM8" s="6"/>
      <c r="CN8" s="3" t="s">
        <v>163</v>
      </c>
      <c r="CO8" s="8">
        <f t="shared" ca="1" si="20"/>
        <v>1.4166666666666667</v>
      </c>
      <c r="CP8" s="9" t="str">
        <f t="shared" ca="1" si="21"/>
        <v>1 Años 5 meses</v>
      </c>
    </row>
    <row r="9" spans="1:94" ht="10.8" customHeight="1" x14ac:dyDescent="0.3">
      <c r="A9" s="2">
        <v>11</v>
      </c>
      <c r="B9" s="3" t="s">
        <v>137</v>
      </c>
      <c r="C9" s="3" t="s">
        <v>79</v>
      </c>
      <c r="D9" s="3" t="s">
        <v>80</v>
      </c>
      <c r="E9" s="3" t="s">
        <v>81</v>
      </c>
      <c r="F9" s="3" t="s">
        <v>138</v>
      </c>
      <c r="G9" s="3" t="s">
        <v>125</v>
      </c>
      <c r="H9" s="3" t="s">
        <v>139</v>
      </c>
      <c r="I9" s="3">
        <v>20</v>
      </c>
      <c r="J9" s="2">
        <v>37396394</v>
      </c>
      <c r="K9" s="4" t="s">
        <v>164</v>
      </c>
      <c r="L9" s="4" t="s">
        <v>102</v>
      </c>
      <c r="M9" s="4"/>
      <c r="N9" s="6" t="s">
        <v>165</v>
      </c>
      <c r="O9" s="6">
        <v>3006584337</v>
      </c>
      <c r="P9" s="6" t="s">
        <v>166</v>
      </c>
      <c r="Q9" s="5">
        <v>45366</v>
      </c>
      <c r="R9" s="5">
        <v>45594</v>
      </c>
      <c r="S9" s="6">
        <f t="shared" ca="1" si="0"/>
        <v>7</v>
      </c>
      <c r="T9" s="6" cm="1">
        <f t="array" aca="1" ref="T9" ca="1">IFERROR(SUMPRODUCT((DAY(Q9+ROW(INDIRECT("1:"&amp;R9-Q9)))&lt;&gt;31)*1),0)</f>
        <v>224</v>
      </c>
      <c r="U9" s="6">
        <f t="shared" ca="1" si="18"/>
        <v>14</v>
      </c>
      <c r="V9" s="6" t="s">
        <v>89</v>
      </c>
      <c r="W9" s="6"/>
      <c r="X9" s="6"/>
      <c r="Y9" s="6" t="s">
        <v>131</v>
      </c>
      <c r="Z9" s="5">
        <v>44974</v>
      </c>
      <c r="AA9" s="5">
        <v>45046</v>
      </c>
      <c r="AB9" s="6">
        <f t="shared" ca="1" si="1"/>
        <v>2</v>
      </c>
      <c r="AC9" s="6" cm="1">
        <f t="array" aca="1" ref="AC9" ca="1">IFERROR(SUMPRODUCT((DAY(Z9+ROW(INDIRECT("1:"&amp;AA9-Z9)))&lt;&gt;31)*1),0)</f>
        <v>71</v>
      </c>
      <c r="AD9" s="6">
        <f t="shared" ca="1" si="2"/>
        <v>11</v>
      </c>
      <c r="AE9" s="6"/>
      <c r="AF9" s="6" t="s">
        <v>167</v>
      </c>
      <c r="AG9" s="5">
        <v>45064</v>
      </c>
      <c r="AH9" s="11">
        <v>45291</v>
      </c>
      <c r="AI9" s="6">
        <f t="shared" ca="1" si="3"/>
        <v>7</v>
      </c>
      <c r="AJ9" s="6" cm="1">
        <f t="array" aca="1" ref="AJ9" ca="1">IFERROR(SUMPRODUCT((DAY(AG9+ROW(INDIRECT("1:"&amp;AH9-AG9)))&lt;&gt;31)*1),0)</f>
        <v>222</v>
      </c>
      <c r="AK9" s="6">
        <f t="shared" ca="1" si="4"/>
        <v>12</v>
      </c>
      <c r="AM9" s="6" t="s">
        <v>167</v>
      </c>
      <c r="AN9" s="5">
        <v>44593</v>
      </c>
      <c r="AO9" s="5">
        <v>44742</v>
      </c>
      <c r="AP9" s="6">
        <f t="shared" ca="1" si="5"/>
        <v>4</v>
      </c>
      <c r="AQ9" s="6" cm="1">
        <f t="array" aca="1" ref="AQ9" ca="1">IFERROR(SUMPRODUCT((DAY(AN9+ROW(INDIRECT("1:"&amp;AO9-AN9)))&lt;&gt;31)*1),0)</f>
        <v>147</v>
      </c>
      <c r="AR9" s="6">
        <f t="shared" ca="1" si="6"/>
        <v>27</v>
      </c>
      <c r="AS9" s="6"/>
      <c r="AT9" s="6" t="s">
        <v>168</v>
      </c>
      <c r="AU9" s="5">
        <v>44760</v>
      </c>
      <c r="AV9" s="11">
        <v>44926</v>
      </c>
      <c r="AW9" s="6">
        <f t="shared" ca="1" si="7"/>
        <v>5</v>
      </c>
      <c r="AX9" s="6" cm="1">
        <f t="array" aca="1" ref="AX9" ca="1">IFERROR(SUMPRODUCT((DAY(AU9+ROW(INDIRECT("1:"&amp;AV9-AU9)))&lt;&gt;31)*1),0)</f>
        <v>162</v>
      </c>
      <c r="AY9" s="6">
        <f t="shared" ca="1" si="8"/>
        <v>12</v>
      </c>
      <c r="AZ9" s="6"/>
      <c r="BA9" s="6" t="s">
        <v>169</v>
      </c>
      <c r="BB9" s="6"/>
      <c r="BC9" s="6"/>
      <c r="BD9" s="6">
        <f t="shared" ca="1" si="9"/>
        <v>0</v>
      </c>
      <c r="BE9" s="6" cm="1">
        <f t="array" aca="1" ref="BE9" ca="1">IFERROR(SUMPRODUCT((DAY(BB9+ROW(INDIRECT("1:"&amp;BC9-BB9)))&lt;&gt;31)*1),0)</f>
        <v>0</v>
      </c>
      <c r="BF9" s="6">
        <f t="shared" ca="1" si="10"/>
        <v>0</v>
      </c>
      <c r="BG9" s="6"/>
      <c r="BH9" s="6"/>
      <c r="BI9" s="6">
        <f t="shared" ca="1" si="19"/>
        <v>25</v>
      </c>
      <c r="BJ9" s="6">
        <f t="shared" ca="1" si="11"/>
        <v>826</v>
      </c>
      <c r="BK9" s="6">
        <f t="shared" ca="1" si="11"/>
        <v>76</v>
      </c>
      <c r="BL9" s="7"/>
      <c r="BM9" s="6" t="s">
        <v>106</v>
      </c>
      <c r="BN9" s="6"/>
      <c r="BO9" s="6"/>
      <c r="BP9" s="5">
        <v>43306</v>
      </c>
      <c r="BQ9" s="6">
        <f t="shared" ca="1" si="12"/>
        <v>87</v>
      </c>
      <c r="BR9" s="6"/>
      <c r="BS9" s="6"/>
      <c r="BT9" s="6"/>
      <c r="BU9" s="6"/>
      <c r="BV9" s="6">
        <f t="shared" ca="1" si="13"/>
        <v>0</v>
      </c>
      <c r="BW9" s="6"/>
      <c r="BX9" s="6"/>
      <c r="BY9" s="6"/>
      <c r="BZ9" s="6">
        <f t="shared" ca="1" si="14"/>
        <v>0</v>
      </c>
      <c r="CA9" s="6"/>
      <c r="CB9" s="6"/>
      <c r="CC9" s="6"/>
      <c r="CD9" s="6">
        <f t="shared" ca="1" si="15"/>
        <v>0</v>
      </c>
      <c r="CE9" s="6"/>
      <c r="CF9" s="6"/>
      <c r="CG9" s="6"/>
      <c r="CH9" s="6">
        <f t="shared" ca="1" si="16"/>
        <v>0</v>
      </c>
      <c r="CI9" s="6"/>
      <c r="CJ9" s="6"/>
      <c r="CK9" s="6"/>
      <c r="CL9" s="6">
        <f t="shared" ca="1" si="17"/>
        <v>0</v>
      </c>
      <c r="CM9" s="6"/>
      <c r="CN9" s="3" t="s">
        <v>170</v>
      </c>
      <c r="CO9" s="8">
        <f t="shared" ca="1" si="20"/>
        <v>2.0833333333333335</v>
      </c>
      <c r="CP9" s="9" t="str">
        <f t="shared" ca="1" si="21"/>
        <v>2 Años 1 meses</v>
      </c>
    </row>
    <row r="10" spans="1:94" ht="10.8" customHeight="1" x14ac:dyDescent="0.3">
      <c r="A10" s="2">
        <v>12</v>
      </c>
      <c r="B10" s="3" t="s">
        <v>137</v>
      </c>
      <c r="C10" s="3" t="s">
        <v>79</v>
      </c>
      <c r="D10" s="3" t="s">
        <v>80</v>
      </c>
      <c r="E10" s="3" t="s">
        <v>81</v>
      </c>
      <c r="F10" s="3" t="s">
        <v>138</v>
      </c>
      <c r="G10" s="3" t="s">
        <v>125</v>
      </c>
      <c r="H10" s="3" t="s">
        <v>139</v>
      </c>
      <c r="I10" s="3">
        <v>20</v>
      </c>
      <c r="J10" s="3">
        <v>1144035131</v>
      </c>
      <c r="K10" s="4" t="s">
        <v>171</v>
      </c>
      <c r="L10" s="4" t="s">
        <v>102</v>
      </c>
      <c r="M10" s="4" t="s">
        <v>103</v>
      </c>
      <c r="N10" s="6" t="s">
        <v>172</v>
      </c>
      <c r="O10" s="6">
        <v>3003648690</v>
      </c>
      <c r="P10" s="6" t="s">
        <v>173</v>
      </c>
      <c r="Q10" s="5">
        <v>45366</v>
      </c>
      <c r="R10" s="5">
        <v>45594</v>
      </c>
      <c r="S10" s="6">
        <f t="shared" ca="1" si="0"/>
        <v>7</v>
      </c>
      <c r="T10" s="6" cm="1">
        <f t="array" aca="1" ref="T10" ca="1">IFERROR(SUMPRODUCT((DAY(Q10+ROW(INDIRECT("1:"&amp;R10-Q10)))&lt;&gt;31)*1),0)</f>
        <v>224</v>
      </c>
      <c r="U10" s="6">
        <f t="shared" ca="1" si="18"/>
        <v>14</v>
      </c>
      <c r="V10" s="6" t="s">
        <v>89</v>
      </c>
      <c r="W10" s="6" t="e">
        <v>#N/A</v>
      </c>
      <c r="X10" s="6" t="s">
        <v>107</v>
      </c>
      <c r="Y10" s="6" t="s">
        <v>174</v>
      </c>
      <c r="Z10" s="5">
        <v>44958</v>
      </c>
      <c r="AA10" s="11">
        <v>45291</v>
      </c>
      <c r="AB10" s="6">
        <f t="shared" ca="1" si="1"/>
        <v>10</v>
      </c>
      <c r="AC10" s="6" cm="1">
        <f t="array" aca="1" ref="AC10" ca="1">IFERROR(SUMPRODUCT((DAY(Z10+ROW(INDIRECT("1:"&amp;AA10-Z10)))&lt;&gt;31)*1),0)</f>
        <v>327</v>
      </c>
      <c r="AD10" s="6">
        <f t="shared" ca="1" si="2"/>
        <v>27</v>
      </c>
      <c r="AE10" s="10" t="s">
        <v>106</v>
      </c>
      <c r="AF10" s="6" t="s">
        <v>175</v>
      </c>
      <c r="AG10" s="5">
        <v>44682</v>
      </c>
      <c r="AH10" s="11">
        <v>44926</v>
      </c>
      <c r="AI10" s="6">
        <f t="shared" ca="1" si="3"/>
        <v>7</v>
      </c>
      <c r="AJ10" s="6" cm="1">
        <f t="array" aca="1" ref="AJ10" ca="1">IFERROR(SUMPRODUCT((DAY(AG10+ROW(INDIRECT("1:"&amp;AH10-AG10)))&lt;&gt;31)*1),0)</f>
        <v>239</v>
      </c>
      <c r="AK10" s="6">
        <f t="shared" ca="1" si="4"/>
        <v>29</v>
      </c>
      <c r="AL10" s="6" t="s">
        <v>106</v>
      </c>
      <c r="AM10" s="6" t="s">
        <v>176</v>
      </c>
      <c r="AN10" s="5">
        <v>44287</v>
      </c>
      <c r="AO10" s="11">
        <v>44561</v>
      </c>
      <c r="AP10" s="6">
        <f t="shared" ca="1" si="5"/>
        <v>8</v>
      </c>
      <c r="AQ10" s="6" cm="1">
        <f t="array" aca="1" ref="AQ10" ca="1">IFERROR(SUMPRODUCT((DAY(AN10+ROW(INDIRECT("1:"&amp;AO10-AN10)))&lt;&gt;31)*1),0)</f>
        <v>269</v>
      </c>
      <c r="AR10" s="6">
        <f t="shared" ca="1" si="6"/>
        <v>29</v>
      </c>
      <c r="AS10" s="6" t="s">
        <v>89</v>
      </c>
      <c r="AT10" s="6" t="s">
        <v>176</v>
      </c>
      <c r="AU10" s="5">
        <v>43857</v>
      </c>
      <c r="AV10" s="11">
        <v>44160</v>
      </c>
      <c r="AW10" s="6">
        <f t="shared" ca="1" si="7"/>
        <v>9</v>
      </c>
      <c r="AX10" s="6" cm="1">
        <f t="array" aca="1" ref="AX10" ca="1">IFERROR(SUMPRODUCT((DAY(AU10+ROW(INDIRECT("1:"&amp;AV10-AU10)))&lt;&gt;31)*1),0)</f>
        <v>297</v>
      </c>
      <c r="AY10" s="6">
        <f t="shared" ca="1" si="8"/>
        <v>27</v>
      </c>
      <c r="AZ10" s="6" t="s">
        <v>177</v>
      </c>
      <c r="BA10" s="6" t="s">
        <v>178</v>
      </c>
      <c r="BB10" s="5">
        <v>43230</v>
      </c>
      <c r="BC10" s="11">
        <v>43465</v>
      </c>
      <c r="BD10" s="6">
        <f t="shared" ca="1" si="9"/>
        <v>7</v>
      </c>
      <c r="BE10" s="6" cm="1">
        <f t="array" aca="1" ref="BE10" ca="1">IFERROR(SUMPRODUCT((DAY(BB10+ROW(INDIRECT("1:"&amp;BC10-BB10)))&lt;&gt;31)*1),0)</f>
        <v>230</v>
      </c>
      <c r="BF10" s="6">
        <f t="shared" ca="1" si="10"/>
        <v>20</v>
      </c>
      <c r="BG10" s="6" t="s">
        <v>179</v>
      </c>
      <c r="BH10" s="6" t="s">
        <v>180</v>
      </c>
      <c r="BI10" s="6">
        <f t="shared" ca="1" si="19"/>
        <v>48</v>
      </c>
      <c r="BJ10" s="6">
        <f t="shared" ca="1" si="11"/>
        <v>1586</v>
      </c>
      <c r="BK10" s="6">
        <f t="shared" ca="1" si="11"/>
        <v>146</v>
      </c>
      <c r="BL10" s="7">
        <v>41591</v>
      </c>
      <c r="BM10" s="6" t="s">
        <v>106</v>
      </c>
      <c r="BN10" s="6" t="s">
        <v>181</v>
      </c>
      <c r="BO10" s="6">
        <v>138985</v>
      </c>
      <c r="BP10" s="5">
        <v>38911</v>
      </c>
      <c r="BQ10" s="6">
        <f t="shared" ca="1" si="12"/>
        <v>231</v>
      </c>
      <c r="BR10" s="6"/>
      <c r="BS10" s="6"/>
      <c r="BT10" s="6"/>
      <c r="BU10" s="6"/>
      <c r="BV10" s="6">
        <f t="shared" ca="1" si="13"/>
        <v>0</v>
      </c>
      <c r="BW10" s="6"/>
      <c r="BX10" s="6"/>
      <c r="BY10" s="6"/>
      <c r="BZ10" s="6">
        <f t="shared" ca="1" si="14"/>
        <v>0</v>
      </c>
      <c r="CA10" s="6"/>
      <c r="CB10" s="6"/>
      <c r="CC10" s="6"/>
      <c r="CD10" s="6">
        <f t="shared" ca="1" si="15"/>
        <v>0</v>
      </c>
      <c r="CE10" s="6"/>
      <c r="CF10" s="6"/>
      <c r="CG10" s="6"/>
      <c r="CH10" s="6">
        <f t="shared" ca="1" si="16"/>
        <v>0</v>
      </c>
      <c r="CI10" s="6"/>
      <c r="CJ10" s="6"/>
      <c r="CK10" s="6"/>
      <c r="CL10" s="6">
        <f t="shared" ca="1" si="17"/>
        <v>0</v>
      </c>
      <c r="CM10" s="6"/>
      <c r="CN10" s="3" t="s">
        <v>182</v>
      </c>
      <c r="CO10" s="8">
        <f t="shared" ca="1" si="20"/>
        <v>4</v>
      </c>
      <c r="CP10" s="9" t="str">
        <f t="shared" ca="1" si="21"/>
        <v>4 Años 0 meses</v>
      </c>
    </row>
    <row r="11" spans="1:94" ht="10.8" customHeight="1" x14ac:dyDescent="0.3">
      <c r="A11" s="2">
        <v>13</v>
      </c>
      <c r="B11" s="3" t="s">
        <v>183</v>
      </c>
      <c r="C11" s="3" t="s">
        <v>79</v>
      </c>
      <c r="D11" s="3" t="s">
        <v>130</v>
      </c>
      <c r="E11" s="3" t="s">
        <v>81</v>
      </c>
      <c r="F11" s="3" t="s">
        <v>184</v>
      </c>
      <c r="G11" s="3" t="s">
        <v>125</v>
      </c>
      <c r="H11" s="3" t="s">
        <v>139</v>
      </c>
      <c r="I11" s="3">
        <v>20</v>
      </c>
      <c r="J11" s="3">
        <v>1004633886</v>
      </c>
      <c r="K11" s="4" t="s">
        <v>185</v>
      </c>
      <c r="L11" s="4" t="s">
        <v>102</v>
      </c>
      <c r="M11" s="4" t="s">
        <v>103</v>
      </c>
      <c r="N11" s="6" t="s">
        <v>186</v>
      </c>
      <c r="O11" s="6">
        <v>3132445419</v>
      </c>
      <c r="P11" s="6" t="s">
        <v>187</v>
      </c>
      <c r="Q11" s="5">
        <v>45367</v>
      </c>
      <c r="R11" s="5">
        <v>45595</v>
      </c>
      <c r="S11" s="6">
        <f t="shared" ca="1" si="0"/>
        <v>7</v>
      </c>
      <c r="T11" s="6" cm="1">
        <f t="array" aca="1" ref="T11" ca="1">IFERROR(SUMPRODUCT((DAY(Q11+ROW(INDIRECT("1:"&amp;R11-Q11)))&lt;&gt;31)*1),0)</f>
        <v>224</v>
      </c>
      <c r="U11" s="6">
        <f t="shared" ca="1" si="18"/>
        <v>14</v>
      </c>
      <c r="V11" s="6" t="s">
        <v>188</v>
      </c>
      <c r="W11" s="6" t="s">
        <v>80</v>
      </c>
      <c r="X11" s="6" t="s">
        <v>107</v>
      </c>
      <c r="Y11" s="13" t="s">
        <v>189</v>
      </c>
      <c r="Z11" s="5">
        <v>44959</v>
      </c>
      <c r="AA11" s="11">
        <v>45292</v>
      </c>
      <c r="AB11" s="6">
        <f t="shared" ca="1" si="1"/>
        <v>10</v>
      </c>
      <c r="AC11" s="6" cm="1">
        <f t="array" aca="1" ref="AC11" ca="1">IFERROR(SUMPRODUCT((DAY(Z11+ROW(INDIRECT("1:"&amp;AA11-Z11)))&lt;&gt;31)*1),0)</f>
        <v>327</v>
      </c>
      <c r="AD11" s="6">
        <f t="shared" ca="1" si="2"/>
        <v>27</v>
      </c>
      <c r="AE11" s="6" t="s">
        <v>190</v>
      </c>
      <c r="AF11" s="6" t="s">
        <v>160</v>
      </c>
      <c r="AG11" s="5">
        <v>44682</v>
      </c>
      <c r="AH11" s="11">
        <v>44926</v>
      </c>
      <c r="AI11" s="6">
        <f t="shared" ca="1" si="3"/>
        <v>7</v>
      </c>
      <c r="AJ11" s="6" cm="1">
        <f t="array" aca="1" ref="AJ11" ca="1">IFERROR(SUMPRODUCT((DAY(AG11+ROW(INDIRECT("1:"&amp;AH11-AG11)))&lt;&gt;31)*1),0)</f>
        <v>239</v>
      </c>
      <c r="AK11" s="6">
        <f t="shared" ca="1" si="4"/>
        <v>29</v>
      </c>
      <c r="AL11" s="6" t="s">
        <v>191</v>
      </c>
      <c r="AM11" s="6" t="s">
        <v>192</v>
      </c>
      <c r="AN11" s="6"/>
      <c r="AO11" s="6"/>
      <c r="AP11" s="6">
        <f t="shared" ca="1" si="5"/>
        <v>0</v>
      </c>
      <c r="AQ11" s="6" cm="1">
        <f t="array" aca="1" ref="AQ11" ca="1">IFERROR(SUMPRODUCT((DAY(AN11+ROW(INDIRECT("1:"&amp;AO11-AN11)))&lt;&gt;31)*1),0)</f>
        <v>0</v>
      </c>
      <c r="AR11" s="6">
        <f t="shared" ca="1" si="6"/>
        <v>0</v>
      </c>
      <c r="AS11" s="6"/>
      <c r="AT11" s="6"/>
      <c r="AU11" s="6"/>
      <c r="AV11" s="6"/>
      <c r="AW11" s="6">
        <f t="shared" ca="1" si="7"/>
        <v>0</v>
      </c>
      <c r="AX11" s="6" cm="1">
        <f t="array" aca="1" ref="AX11" ca="1">IFERROR(SUMPRODUCT((DAY(AU11+ROW(INDIRECT("1:"&amp;AV11-AU11)))&lt;&gt;31)*1),0)</f>
        <v>0</v>
      </c>
      <c r="AY11" s="6">
        <f t="shared" ca="1" si="8"/>
        <v>0</v>
      </c>
      <c r="AZ11" s="6"/>
      <c r="BA11" s="6"/>
      <c r="BB11" s="6"/>
      <c r="BC11" s="6"/>
      <c r="BD11" s="6">
        <f t="shared" ca="1" si="9"/>
        <v>0</v>
      </c>
      <c r="BE11" s="6" cm="1">
        <f t="array" aca="1" ref="BE11" ca="1">IFERROR(SUMPRODUCT((DAY(BB11+ROW(INDIRECT("1:"&amp;BC11-BB11)))&lt;&gt;31)*1),0)</f>
        <v>0</v>
      </c>
      <c r="BF11" s="6">
        <f t="shared" ca="1" si="10"/>
        <v>0</v>
      </c>
      <c r="BG11" s="6"/>
      <c r="BH11" s="6"/>
      <c r="BI11" s="6">
        <f t="shared" ca="1" si="19"/>
        <v>24</v>
      </c>
      <c r="BJ11" s="6">
        <f t="shared" ca="1" si="11"/>
        <v>790</v>
      </c>
      <c r="BK11" s="6">
        <f t="shared" ca="1" si="11"/>
        <v>70</v>
      </c>
      <c r="BL11" s="7">
        <v>44833</v>
      </c>
      <c r="BM11" s="6" t="s">
        <v>193</v>
      </c>
      <c r="BN11" s="6" t="s">
        <v>194</v>
      </c>
      <c r="BO11" s="6">
        <v>1004633886</v>
      </c>
      <c r="BP11" s="5">
        <v>44351</v>
      </c>
      <c r="BQ11" s="6">
        <f t="shared" ca="1" si="12"/>
        <v>53</v>
      </c>
      <c r="BR11" s="6"/>
      <c r="BS11" s="6"/>
      <c r="BT11" s="6"/>
      <c r="BU11" s="6"/>
      <c r="BV11" s="6">
        <f t="shared" ca="1" si="13"/>
        <v>0</v>
      </c>
      <c r="BW11" s="6"/>
      <c r="BX11" s="6"/>
      <c r="BY11" s="6"/>
      <c r="BZ11" s="6">
        <f t="shared" ca="1" si="14"/>
        <v>0</v>
      </c>
      <c r="CA11" s="6"/>
      <c r="CB11" s="6"/>
      <c r="CC11" s="6"/>
      <c r="CD11" s="6">
        <f t="shared" ca="1" si="15"/>
        <v>0</v>
      </c>
      <c r="CE11" s="6"/>
      <c r="CF11" s="6"/>
      <c r="CG11" s="6"/>
      <c r="CH11" s="6">
        <f t="shared" ca="1" si="16"/>
        <v>0</v>
      </c>
      <c r="CI11" s="6"/>
      <c r="CJ11" s="6"/>
      <c r="CK11" s="6"/>
      <c r="CL11" s="6">
        <f t="shared" ca="1" si="17"/>
        <v>0</v>
      </c>
      <c r="CM11" s="6"/>
      <c r="CO11" s="8">
        <f t="shared" ca="1" si="20"/>
        <v>2</v>
      </c>
      <c r="CP11" s="9" t="str">
        <f t="shared" ca="1" si="21"/>
        <v>2 Años 0 meses</v>
      </c>
    </row>
    <row r="12" spans="1:94" ht="10.8" customHeight="1" x14ac:dyDescent="0.3">
      <c r="A12" s="2">
        <v>14</v>
      </c>
      <c r="B12" s="3" t="s">
        <v>195</v>
      </c>
      <c r="C12" s="3" t="s">
        <v>79</v>
      </c>
      <c r="D12" s="3" t="s">
        <v>80</v>
      </c>
      <c r="E12" s="3" t="s">
        <v>196</v>
      </c>
      <c r="F12" s="3" t="s">
        <v>197</v>
      </c>
      <c r="G12" s="3" t="s">
        <v>80</v>
      </c>
      <c r="H12" s="3" t="s">
        <v>83</v>
      </c>
      <c r="I12" s="3">
        <v>6</v>
      </c>
      <c r="J12" s="2">
        <v>31177019</v>
      </c>
      <c r="K12" s="4" t="s">
        <v>198</v>
      </c>
      <c r="L12" s="4" t="s">
        <v>102</v>
      </c>
      <c r="M12" s="4"/>
      <c r="N12" s="6" t="s">
        <v>199</v>
      </c>
      <c r="O12" s="6">
        <v>3148807491</v>
      </c>
      <c r="P12" s="6" t="s">
        <v>200</v>
      </c>
      <c r="Q12" s="5">
        <v>41779</v>
      </c>
      <c r="R12" s="5">
        <v>45419</v>
      </c>
      <c r="S12" s="6">
        <f t="shared" ca="1" si="0"/>
        <v>119</v>
      </c>
      <c r="T12" s="6" cm="1">
        <f t="array" aca="1" ref="T12" ca="1">IFERROR(SUMPRODUCT((DAY(Q12+ROW(INDIRECT("1:"&amp;R12-Q12)))&lt;&gt;31)*1),0)</f>
        <v>3570</v>
      </c>
      <c r="U12" s="6">
        <f t="shared" ca="1" si="18"/>
        <v>0</v>
      </c>
      <c r="V12" s="6" t="s">
        <v>201</v>
      </c>
      <c r="W12" s="6"/>
      <c r="X12" s="6"/>
      <c r="Y12" s="6"/>
      <c r="Z12" s="6"/>
      <c r="AA12" s="6"/>
      <c r="AB12" s="6">
        <f t="shared" ca="1" si="1"/>
        <v>0</v>
      </c>
      <c r="AC12" s="6" cm="1">
        <f t="array" aca="1" ref="AC12" ca="1">IFERROR(SUMPRODUCT((DAY(Z12+ROW(INDIRECT("1:"&amp;AA12-Z12)))&lt;&gt;31)*1),0)</f>
        <v>0</v>
      </c>
      <c r="AD12" s="6">
        <f t="shared" ca="1" si="2"/>
        <v>0</v>
      </c>
      <c r="AE12" s="6"/>
      <c r="AF12" s="6"/>
      <c r="AG12" s="6"/>
      <c r="AH12" s="6"/>
      <c r="AI12" s="6">
        <f t="shared" ca="1" si="3"/>
        <v>0</v>
      </c>
      <c r="AJ12" s="6" cm="1">
        <f t="array" aca="1" ref="AJ12" ca="1">IFERROR(SUMPRODUCT((DAY(AG12+ROW(INDIRECT("1:"&amp;AH12-AG12)))&lt;&gt;31)*1),0)</f>
        <v>0</v>
      </c>
      <c r="AK12" s="6">
        <f t="shared" ca="1" si="4"/>
        <v>0</v>
      </c>
      <c r="AL12" s="6"/>
      <c r="AM12" s="6"/>
      <c r="AN12" s="6"/>
      <c r="AO12" s="6"/>
      <c r="AP12" s="6">
        <f t="shared" ca="1" si="5"/>
        <v>0</v>
      </c>
      <c r="AQ12" s="6" cm="1">
        <f t="array" aca="1" ref="AQ12" ca="1">IFERROR(SUMPRODUCT((DAY(AN12+ROW(INDIRECT("1:"&amp;AO12-AN12)))&lt;&gt;31)*1),0)</f>
        <v>0</v>
      </c>
      <c r="AR12" s="6">
        <f t="shared" ca="1" si="6"/>
        <v>0</v>
      </c>
      <c r="AS12" s="6"/>
      <c r="AT12" s="6"/>
      <c r="AU12" s="6"/>
      <c r="AV12" s="6"/>
      <c r="AW12" s="6">
        <f t="shared" ca="1" si="7"/>
        <v>0</v>
      </c>
      <c r="AX12" s="6" cm="1">
        <f t="array" aca="1" ref="AX12" ca="1">IFERROR(SUMPRODUCT((DAY(AU12+ROW(INDIRECT("1:"&amp;AV12-AU12)))&lt;&gt;31)*1),0)</f>
        <v>0</v>
      </c>
      <c r="AY12" s="6">
        <f t="shared" ca="1" si="8"/>
        <v>0</v>
      </c>
      <c r="AZ12" s="6"/>
      <c r="BA12" s="6"/>
      <c r="BB12" s="6"/>
      <c r="BC12" s="6"/>
      <c r="BD12" s="6">
        <f t="shared" ca="1" si="9"/>
        <v>0</v>
      </c>
      <c r="BE12" s="6" cm="1">
        <f t="array" aca="1" ref="BE12" ca="1">IFERROR(SUMPRODUCT((DAY(BB12+ROW(INDIRECT("1:"&amp;BC12-BB12)))&lt;&gt;31)*1),0)</f>
        <v>0</v>
      </c>
      <c r="BF12" s="6">
        <f t="shared" ca="1" si="10"/>
        <v>0</v>
      </c>
      <c r="BG12" s="6"/>
      <c r="BH12" s="6"/>
      <c r="BI12" s="6">
        <f t="shared" ca="1" si="19"/>
        <v>119</v>
      </c>
      <c r="BJ12" s="6">
        <f t="shared" ca="1" si="11"/>
        <v>3570</v>
      </c>
      <c r="BK12" s="6">
        <f t="shared" ca="1" si="11"/>
        <v>0</v>
      </c>
      <c r="BL12" s="7">
        <v>45467</v>
      </c>
      <c r="BM12" s="6" t="s">
        <v>202</v>
      </c>
      <c r="BN12" s="6"/>
      <c r="BO12" s="6"/>
      <c r="BP12" s="5">
        <v>36308</v>
      </c>
      <c r="BQ12" s="6">
        <f t="shared" ca="1" si="12"/>
        <v>317</v>
      </c>
      <c r="BR12" s="6"/>
      <c r="BS12" s="6"/>
      <c r="BT12" s="6"/>
      <c r="BU12" s="6"/>
      <c r="BV12" s="6">
        <f t="shared" ca="1" si="13"/>
        <v>0</v>
      </c>
      <c r="BW12" s="6"/>
      <c r="BX12" s="6"/>
      <c r="BY12" s="6"/>
      <c r="BZ12" s="6">
        <f t="shared" ca="1" si="14"/>
        <v>0</v>
      </c>
      <c r="CA12" s="6"/>
      <c r="CB12" s="6"/>
      <c r="CC12" s="6"/>
      <c r="CD12" s="6">
        <f t="shared" ca="1" si="15"/>
        <v>0</v>
      </c>
      <c r="CE12" s="6"/>
      <c r="CF12" s="6"/>
      <c r="CG12" s="6"/>
      <c r="CH12" s="6">
        <f t="shared" ca="1" si="16"/>
        <v>0</v>
      </c>
      <c r="CI12" s="6"/>
      <c r="CJ12" s="6"/>
      <c r="CK12" s="6"/>
      <c r="CL12" s="6">
        <f t="shared" ca="1" si="17"/>
        <v>0</v>
      </c>
      <c r="CM12" s="6"/>
      <c r="CN12" s="3" t="s">
        <v>203</v>
      </c>
      <c r="CO12" s="8">
        <f t="shared" ca="1" si="20"/>
        <v>9.9166666666666661</v>
      </c>
      <c r="CP12" s="9" t="str">
        <f t="shared" ca="1" si="21"/>
        <v>9 Años 11 meses</v>
      </c>
    </row>
    <row r="13" spans="1:94" ht="10.8" customHeight="1" x14ac:dyDescent="0.3">
      <c r="A13" s="2">
        <v>15</v>
      </c>
      <c r="B13" s="3" t="s">
        <v>204</v>
      </c>
      <c r="C13" s="3" t="s">
        <v>205</v>
      </c>
      <c r="D13" s="3" t="s">
        <v>80</v>
      </c>
      <c r="E13" s="3" t="s">
        <v>206</v>
      </c>
      <c r="F13" s="3" t="s">
        <v>207</v>
      </c>
      <c r="G13" s="3" t="s">
        <v>80</v>
      </c>
      <c r="H13" s="3" t="s">
        <v>100</v>
      </c>
      <c r="I13" s="3">
        <v>2</v>
      </c>
      <c r="J13" s="2">
        <v>1089485700</v>
      </c>
      <c r="K13" s="4" t="s">
        <v>208</v>
      </c>
      <c r="L13" s="4" t="s">
        <v>85</v>
      </c>
      <c r="M13" s="4" t="s">
        <v>86</v>
      </c>
      <c r="N13" s="6" t="s">
        <v>209</v>
      </c>
      <c r="O13" s="6">
        <v>3127216947</v>
      </c>
      <c r="P13" s="6" t="s">
        <v>210</v>
      </c>
      <c r="Q13" s="5">
        <v>45366</v>
      </c>
      <c r="R13" s="5">
        <v>45594</v>
      </c>
      <c r="S13" s="6">
        <f t="shared" ca="1" si="0"/>
        <v>7</v>
      </c>
      <c r="T13" s="6" cm="1">
        <f t="array" aca="1" ref="T13" ca="1">IFERROR(SUMPRODUCT((DAY(Q13+ROW(INDIRECT("1:"&amp;R13-Q13)))&lt;&gt;31)*1),0)</f>
        <v>224</v>
      </c>
      <c r="U13" s="6">
        <f t="shared" ca="1" si="18"/>
        <v>14</v>
      </c>
      <c r="V13" s="6" t="s">
        <v>211</v>
      </c>
      <c r="W13" s="6"/>
      <c r="X13" s="6" t="s">
        <v>90</v>
      </c>
      <c r="Y13" s="14" t="s">
        <v>212</v>
      </c>
      <c r="Z13" s="5">
        <v>45201</v>
      </c>
      <c r="AA13" s="11">
        <v>45244</v>
      </c>
      <c r="AB13" s="6">
        <f t="shared" ca="1" si="1"/>
        <v>1</v>
      </c>
      <c r="AC13" s="6" cm="1">
        <f t="array" aca="1" ref="AC13" ca="1">IFERROR(SUMPRODUCT((DAY(Z13+ROW(INDIRECT("1:"&amp;AA13-Z13)))&lt;&gt;31)*1),0)</f>
        <v>42</v>
      </c>
      <c r="AD13" s="6">
        <f t="shared" ca="1" si="2"/>
        <v>12</v>
      </c>
      <c r="AE13" s="6" t="s">
        <v>211</v>
      </c>
      <c r="AF13" s="6" t="s">
        <v>213</v>
      </c>
      <c r="AG13" s="5">
        <v>44986</v>
      </c>
      <c r="AH13" s="5">
        <v>45107</v>
      </c>
      <c r="AI13" s="6">
        <f t="shared" ca="1" si="3"/>
        <v>3</v>
      </c>
      <c r="AJ13" s="6" cm="1">
        <f t="array" aca="1" ref="AJ13" ca="1">IFERROR(SUMPRODUCT((DAY(AG13+ROW(INDIRECT("1:"&amp;AH13-AG13)))&lt;&gt;31)*1),0)</f>
        <v>119</v>
      </c>
      <c r="AK13" s="6">
        <f t="shared" ca="1" si="4"/>
        <v>29</v>
      </c>
      <c r="AL13" s="6" t="s">
        <v>214</v>
      </c>
      <c r="AM13" s="6" t="s">
        <v>215</v>
      </c>
      <c r="AN13" s="5">
        <v>44635</v>
      </c>
      <c r="AO13" s="5">
        <v>44773</v>
      </c>
      <c r="AP13" s="6">
        <f t="shared" ca="1" si="5"/>
        <v>4</v>
      </c>
      <c r="AQ13" s="6" cm="1">
        <f t="array" aca="1" ref="AQ13" ca="1">IFERROR(SUMPRODUCT((DAY(AN13+ROW(INDIRECT("1:"&amp;AO13-AN13)))&lt;&gt;31)*1),0)</f>
        <v>135</v>
      </c>
      <c r="AR13" s="6">
        <f t="shared" ca="1" si="6"/>
        <v>15</v>
      </c>
      <c r="AS13" s="6" t="s">
        <v>211</v>
      </c>
      <c r="AT13" s="6" t="s">
        <v>216</v>
      </c>
      <c r="AU13" s="5">
        <v>44788</v>
      </c>
      <c r="AV13" s="5">
        <v>44971</v>
      </c>
      <c r="AW13" s="6">
        <f t="shared" ca="1" si="7"/>
        <v>5</v>
      </c>
      <c r="AX13" s="6" cm="1">
        <f t="array" aca="1" ref="AX13" ca="1">IFERROR(SUMPRODUCT((DAY(AU13+ROW(INDIRECT("1:"&amp;AV13-AU13)))&lt;&gt;31)*1),0)</f>
        <v>179</v>
      </c>
      <c r="AY13" s="6">
        <f t="shared" ca="1" si="8"/>
        <v>29</v>
      </c>
      <c r="AZ13" s="6" t="s">
        <v>211</v>
      </c>
      <c r="BA13" s="6" t="s">
        <v>217</v>
      </c>
      <c r="BB13" s="5">
        <v>44287</v>
      </c>
      <c r="BC13" s="5">
        <v>44561</v>
      </c>
      <c r="BD13" s="6">
        <f t="shared" ca="1" si="9"/>
        <v>8</v>
      </c>
      <c r="BE13" s="6" cm="1">
        <f t="array" aca="1" ref="BE13" ca="1">IFERROR(SUMPRODUCT((DAY(BB13+ROW(INDIRECT("1:"&amp;BC13-BB13)))&lt;&gt;31)*1),0)</f>
        <v>269</v>
      </c>
      <c r="BF13" s="6">
        <f t="shared" ca="1" si="10"/>
        <v>29</v>
      </c>
      <c r="BG13" s="6"/>
      <c r="BH13" s="6" t="s">
        <v>218</v>
      </c>
      <c r="BI13" s="6">
        <f t="shared" ca="1" si="19"/>
        <v>28</v>
      </c>
      <c r="BJ13" s="6">
        <f t="shared" ca="1" si="11"/>
        <v>968</v>
      </c>
      <c r="BK13" s="6">
        <f t="shared" ca="1" si="11"/>
        <v>128</v>
      </c>
      <c r="BL13" s="7">
        <v>43895</v>
      </c>
      <c r="BM13" s="6" t="s">
        <v>214</v>
      </c>
      <c r="BN13" s="6"/>
      <c r="BO13" s="6"/>
      <c r="BP13" s="11">
        <v>43826</v>
      </c>
      <c r="BQ13" s="6">
        <f t="shared" ca="1" si="12"/>
        <v>70</v>
      </c>
      <c r="BR13" s="6"/>
      <c r="BS13" s="6"/>
      <c r="BT13" s="6"/>
      <c r="BU13" s="6"/>
      <c r="BV13" s="6">
        <f t="shared" ca="1" si="13"/>
        <v>0</v>
      </c>
      <c r="BW13" s="6"/>
      <c r="BX13" s="6"/>
      <c r="BY13" s="6"/>
      <c r="BZ13" s="6">
        <f t="shared" ca="1" si="14"/>
        <v>0</v>
      </c>
      <c r="CA13" s="6"/>
      <c r="CB13" s="6"/>
      <c r="CC13" s="6"/>
      <c r="CD13" s="6">
        <f t="shared" ca="1" si="15"/>
        <v>0</v>
      </c>
      <c r="CE13" s="6"/>
      <c r="CF13" s="6"/>
      <c r="CG13" s="6"/>
      <c r="CH13" s="6">
        <f t="shared" ca="1" si="16"/>
        <v>0</v>
      </c>
      <c r="CI13" s="6"/>
      <c r="CJ13" s="6"/>
      <c r="CK13" s="6"/>
      <c r="CL13" s="6">
        <f t="shared" ca="1" si="17"/>
        <v>0</v>
      </c>
      <c r="CM13" s="6"/>
      <c r="CN13" s="3" t="s">
        <v>219</v>
      </c>
      <c r="CO13" s="8">
        <f t="shared" ca="1" si="20"/>
        <v>2.3333333333333335</v>
      </c>
      <c r="CP13" s="9" t="str">
        <f t="shared" ca="1" si="21"/>
        <v>2 Años 4 meses</v>
      </c>
    </row>
    <row r="14" spans="1:94" ht="10.8" customHeight="1" x14ac:dyDescent="0.3">
      <c r="A14" s="2">
        <v>16</v>
      </c>
      <c r="B14" s="3" t="s">
        <v>204</v>
      </c>
      <c r="C14" s="3" t="s">
        <v>80</v>
      </c>
      <c r="D14" s="3" t="s">
        <v>80</v>
      </c>
      <c r="E14" s="3" t="s">
        <v>206</v>
      </c>
      <c r="F14" s="3" t="s">
        <v>220</v>
      </c>
      <c r="G14" s="3" t="s">
        <v>80</v>
      </c>
      <c r="H14" s="3" t="s">
        <v>83</v>
      </c>
      <c r="I14" s="3">
        <v>4</v>
      </c>
      <c r="J14" s="2">
        <v>1107101593</v>
      </c>
      <c r="K14" s="4" t="s">
        <v>221</v>
      </c>
      <c r="L14" s="4" t="s">
        <v>102</v>
      </c>
      <c r="M14" s="4"/>
      <c r="N14" s="6" t="s">
        <v>222</v>
      </c>
      <c r="O14" s="6">
        <v>3235889168</v>
      </c>
      <c r="P14" s="6" t="s">
        <v>223</v>
      </c>
      <c r="Q14" s="5">
        <v>45062</v>
      </c>
      <c r="R14" s="5">
        <v>45275</v>
      </c>
      <c r="S14" s="6">
        <f t="shared" ca="1" si="0"/>
        <v>6</v>
      </c>
      <c r="T14" s="6" cm="1">
        <f t="array" aca="1" ref="T14" ca="1">IFERROR(SUMPRODUCT((DAY(Q14+ROW(INDIRECT("1:"&amp;R14-Q14)))&lt;&gt;31)*1),0)</f>
        <v>209</v>
      </c>
      <c r="U14" s="6">
        <f t="shared" ca="1" si="18"/>
        <v>29</v>
      </c>
      <c r="V14" s="6" t="s">
        <v>214</v>
      </c>
      <c r="W14" s="6"/>
      <c r="X14" s="6"/>
      <c r="Y14" s="6" t="s">
        <v>224</v>
      </c>
      <c r="Z14" s="5">
        <v>44973</v>
      </c>
      <c r="AA14" s="5">
        <v>45044</v>
      </c>
      <c r="AB14" s="6">
        <f t="shared" ca="1" si="1"/>
        <v>2</v>
      </c>
      <c r="AC14" s="6" cm="1">
        <f t="array" aca="1" ref="AC14" ca="1">IFERROR(SUMPRODUCT((DAY(Z14+ROW(INDIRECT("1:"&amp;AA14-Z14)))&lt;&gt;31)*1),0)</f>
        <v>70</v>
      </c>
      <c r="AD14" s="6">
        <f t="shared" ca="1" si="2"/>
        <v>10</v>
      </c>
      <c r="AE14" s="6" t="s">
        <v>214</v>
      </c>
      <c r="AF14" s="6" t="s">
        <v>225</v>
      </c>
      <c r="AG14" s="5">
        <v>44802</v>
      </c>
      <c r="AH14" s="11">
        <v>44915</v>
      </c>
      <c r="AI14" s="6">
        <f t="shared" ca="1" si="3"/>
        <v>3</v>
      </c>
      <c r="AJ14" s="6" cm="1">
        <f t="array" aca="1" ref="AJ14" ca="1">IFERROR(SUMPRODUCT((DAY(AG14+ROW(INDIRECT("1:"&amp;AH14-AG14)))&lt;&gt;31)*1),0)</f>
        <v>111</v>
      </c>
      <c r="AK14" s="6">
        <f t="shared" ca="1" si="4"/>
        <v>21</v>
      </c>
      <c r="AL14" s="6" t="s">
        <v>214</v>
      </c>
      <c r="AM14" s="6" t="s">
        <v>226</v>
      </c>
      <c r="AN14" s="6"/>
      <c r="AO14" s="6"/>
      <c r="AP14" s="6">
        <f t="shared" ca="1" si="5"/>
        <v>0</v>
      </c>
      <c r="AQ14" s="6" cm="1">
        <f t="array" aca="1" ref="AQ14" ca="1">IFERROR(SUMPRODUCT((DAY(AN14+ROW(INDIRECT("1:"&amp;AO14-AN14)))&lt;&gt;31)*1),0)</f>
        <v>0</v>
      </c>
      <c r="AR14" s="6">
        <f t="shared" ca="1" si="6"/>
        <v>0</v>
      </c>
      <c r="AS14" s="6"/>
      <c r="AT14" s="6"/>
      <c r="AU14" s="6"/>
      <c r="AV14" s="6"/>
      <c r="AW14" s="6">
        <f t="shared" ca="1" si="7"/>
        <v>0</v>
      </c>
      <c r="AX14" s="6" cm="1">
        <f t="array" aca="1" ref="AX14" ca="1">IFERROR(SUMPRODUCT((DAY(AU14+ROW(INDIRECT("1:"&amp;AV14-AU14)))&lt;&gt;31)*1),0)</f>
        <v>0</v>
      </c>
      <c r="AY14" s="6">
        <f t="shared" ca="1" si="8"/>
        <v>0</v>
      </c>
      <c r="AZ14" s="6"/>
      <c r="BA14" s="6"/>
      <c r="BB14" s="6"/>
      <c r="BC14" s="6"/>
      <c r="BD14" s="6">
        <f t="shared" ca="1" si="9"/>
        <v>0</v>
      </c>
      <c r="BE14" s="6" cm="1">
        <f t="array" aca="1" ref="BE14" ca="1">IFERROR(SUMPRODUCT((DAY(BB14+ROW(INDIRECT("1:"&amp;BC14-BB14)))&lt;&gt;31)*1),0)</f>
        <v>0</v>
      </c>
      <c r="BF14" s="6">
        <f t="shared" ca="1" si="10"/>
        <v>0</v>
      </c>
      <c r="BG14" s="6"/>
      <c r="BH14" s="6"/>
      <c r="BI14" s="6">
        <f t="shared" ca="1" si="19"/>
        <v>11</v>
      </c>
      <c r="BJ14" s="6">
        <f t="shared" ca="1" si="11"/>
        <v>390</v>
      </c>
      <c r="BK14" s="6">
        <f t="shared" ca="1" si="11"/>
        <v>60</v>
      </c>
      <c r="BL14" s="7">
        <v>44606</v>
      </c>
      <c r="BM14" s="6" t="s">
        <v>214</v>
      </c>
      <c r="BN14" s="6"/>
      <c r="BO14" s="6"/>
      <c r="BP14" s="11">
        <v>44519</v>
      </c>
      <c r="BQ14" s="6">
        <f t="shared" ca="1" si="12"/>
        <v>47</v>
      </c>
      <c r="BR14" s="6"/>
      <c r="BS14" s="6"/>
      <c r="BT14" s="6"/>
      <c r="BU14" s="6"/>
      <c r="BV14" s="6">
        <f t="shared" ca="1" si="13"/>
        <v>0</v>
      </c>
      <c r="BW14" s="6" t="s">
        <v>227</v>
      </c>
      <c r="BX14" s="6"/>
      <c r="BY14" s="11">
        <v>45254</v>
      </c>
      <c r="BZ14" s="6">
        <f t="shared" ca="1" si="14"/>
        <v>23</v>
      </c>
      <c r="CA14" s="6"/>
      <c r="CB14" s="6"/>
      <c r="CC14" s="6"/>
      <c r="CD14" s="6">
        <f t="shared" ca="1" si="15"/>
        <v>0</v>
      </c>
      <c r="CE14" s="6"/>
      <c r="CF14" s="6"/>
      <c r="CG14" s="6"/>
      <c r="CH14" s="6">
        <f t="shared" ca="1" si="16"/>
        <v>0</v>
      </c>
      <c r="CI14" s="6"/>
      <c r="CJ14" s="6"/>
      <c r="CK14" s="6"/>
      <c r="CL14" s="6">
        <f t="shared" ca="1" si="17"/>
        <v>0</v>
      </c>
      <c r="CM14" s="6"/>
      <c r="CN14" s="3" t="s">
        <v>228</v>
      </c>
      <c r="CO14" s="8">
        <f t="shared" ca="1" si="20"/>
        <v>0.91666666666666663</v>
      </c>
      <c r="CP14" s="9" t="str">
        <f t="shared" ca="1" si="21"/>
        <v>0 Años 11 meses</v>
      </c>
    </row>
    <row r="15" spans="1:94" ht="10.8" customHeight="1" x14ac:dyDescent="0.3">
      <c r="A15" s="2">
        <v>17</v>
      </c>
      <c r="B15" s="3" t="s">
        <v>97</v>
      </c>
      <c r="C15" s="3" t="s">
        <v>79</v>
      </c>
      <c r="D15" s="3" t="s">
        <v>80</v>
      </c>
      <c r="E15" s="3" t="s">
        <v>98</v>
      </c>
      <c r="F15" s="3" t="s">
        <v>99</v>
      </c>
      <c r="G15" s="3" t="s">
        <v>80</v>
      </c>
      <c r="H15" s="3" t="s">
        <v>100</v>
      </c>
      <c r="I15" s="3">
        <v>8</v>
      </c>
      <c r="J15" s="3">
        <v>1144090380</v>
      </c>
      <c r="K15" s="4" t="s">
        <v>229</v>
      </c>
      <c r="L15" s="4" t="s">
        <v>102</v>
      </c>
      <c r="M15" s="4" t="s">
        <v>103</v>
      </c>
      <c r="N15" s="6" t="s">
        <v>230</v>
      </c>
      <c r="O15" s="6">
        <v>3167842543</v>
      </c>
      <c r="P15" s="6" t="s">
        <v>231</v>
      </c>
      <c r="Q15" s="5">
        <v>44682</v>
      </c>
      <c r="R15" s="5">
        <v>44926</v>
      </c>
      <c r="S15" s="6">
        <f t="shared" ca="1" si="0"/>
        <v>7</v>
      </c>
      <c r="T15" s="6" cm="1">
        <f t="array" aca="1" ref="T15" ca="1">IFERROR(SUMPRODUCT((DAY(Q15+ROW(INDIRECT("1:"&amp;R15-Q15)))&lt;&gt;31)*1),0)</f>
        <v>239</v>
      </c>
      <c r="U15" s="6">
        <f t="shared" ca="1" si="18"/>
        <v>29</v>
      </c>
      <c r="V15" s="6" t="s">
        <v>106</v>
      </c>
      <c r="W15" s="6" t="s">
        <v>130</v>
      </c>
      <c r="X15" s="6" t="s">
        <v>107</v>
      </c>
      <c r="Y15" s="6" t="s">
        <v>232</v>
      </c>
      <c r="Z15" s="5">
        <v>44958</v>
      </c>
      <c r="AA15" s="11">
        <v>45291</v>
      </c>
      <c r="AB15" s="6">
        <f t="shared" ca="1" si="1"/>
        <v>10</v>
      </c>
      <c r="AC15" s="6" cm="1">
        <f t="array" aca="1" ref="AC15" ca="1">IFERROR(SUMPRODUCT((DAY(Z15+ROW(INDIRECT("1:"&amp;AA15-Z15)))&lt;&gt;31)*1),0)</f>
        <v>327</v>
      </c>
      <c r="AD15" s="6">
        <f t="shared" ca="1" si="2"/>
        <v>27</v>
      </c>
      <c r="AE15" s="6" t="s">
        <v>106</v>
      </c>
      <c r="AF15" s="6" t="s">
        <v>233</v>
      </c>
      <c r="AG15" s="5">
        <v>45363</v>
      </c>
      <c r="AH15" s="6"/>
      <c r="AI15" s="6">
        <f t="shared" ca="1" si="3"/>
        <v>0</v>
      </c>
      <c r="AJ15" s="6" cm="1">
        <f t="array" aca="1" ref="AJ15" ca="1">IFERROR(SUMPRODUCT((DAY(AG15+ROW(INDIRECT("1:"&amp;AH15-AG15)))&lt;&gt;31)*1),0)</f>
        <v>0</v>
      </c>
      <c r="AK15" s="6">
        <f t="shared" ca="1" si="4"/>
        <v>0</v>
      </c>
      <c r="AL15" s="6" t="s">
        <v>106</v>
      </c>
      <c r="AM15" s="6" t="s">
        <v>234</v>
      </c>
      <c r="AN15" s="6"/>
      <c r="AO15" s="6"/>
      <c r="AP15" s="6">
        <f t="shared" ca="1" si="5"/>
        <v>0</v>
      </c>
      <c r="AQ15" s="6" cm="1">
        <f t="array" aca="1" ref="AQ15" ca="1">IFERROR(SUMPRODUCT((DAY(AN15+ROW(INDIRECT("1:"&amp;AO15-AN15)))&lt;&gt;31)*1),0)</f>
        <v>0</v>
      </c>
      <c r="AR15" s="6">
        <f t="shared" ca="1" si="6"/>
        <v>0</v>
      </c>
      <c r="AS15" s="6"/>
      <c r="AT15" s="6"/>
      <c r="AU15" s="6"/>
      <c r="AV15" s="6"/>
      <c r="AW15" s="6">
        <f t="shared" ca="1" si="7"/>
        <v>0</v>
      </c>
      <c r="AX15" s="6" cm="1">
        <f t="array" aca="1" ref="AX15" ca="1">IFERROR(SUMPRODUCT((DAY(AU15+ROW(INDIRECT("1:"&amp;AV15-AU15)))&lt;&gt;31)*1),0)</f>
        <v>0</v>
      </c>
      <c r="AY15" s="6">
        <f t="shared" ca="1" si="8"/>
        <v>0</v>
      </c>
      <c r="AZ15" s="6"/>
      <c r="BA15" s="6"/>
      <c r="BB15" s="6"/>
      <c r="BC15" s="6"/>
      <c r="BD15" s="6">
        <f t="shared" ca="1" si="9"/>
        <v>0</v>
      </c>
      <c r="BE15" s="6" cm="1">
        <f t="array" aca="1" ref="BE15" ca="1">IFERROR(SUMPRODUCT((DAY(BB15+ROW(INDIRECT("1:"&amp;BC15-BB15)))&lt;&gt;31)*1),0)</f>
        <v>0</v>
      </c>
      <c r="BF15" s="6">
        <f t="shared" ca="1" si="10"/>
        <v>0</v>
      </c>
      <c r="BG15" s="6"/>
      <c r="BH15" s="6"/>
      <c r="BI15" s="6">
        <f t="shared" ca="1" si="19"/>
        <v>17</v>
      </c>
      <c r="BJ15" s="6">
        <f t="shared" ca="1" si="11"/>
        <v>566</v>
      </c>
      <c r="BK15" s="6">
        <f t="shared" ca="1" si="11"/>
        <v>56</v>
      </c>
      <c r="BL15" s="7">
        <v>44125</v>
      </c>
      <c r="BM15" s="6" t="s">
        <v>106</v>
      </c>
      <c r="BN15" s="6" t="s">
        <v>235</v>
      </c>
      <c r="BO15" s="6">
        <v>218921</v>
      </c>
      <c r="BP15" s="5">
        <v>43883</v>
      </c>
      <c r="BQ15" s="6">
        <f t="shared" ca="1" si="12"/>
        <v>68</v>
      </c>
      <c r="BR15" s="6"/>
      <c r="BS15" s="6"/>
      <c r="BT15" s="6"/>
      <c r="BU15" s="6"/>
      <c r="BV15" s="6">
        <f t="shared" ca="1" si="13"/>
        <v>0</v>
      </c>
      <c r="BW15" s="6"/>
      <c r="BX15" s="6"/>
      <c r="BY15" s="6"/>
      <c r="BZ15" s="6">
        <f t="shared" ca="1" si="14"/>
        <v>0</v>
      </c>
      <c r="CA15" s="6"/>
      <c r="CB15" s="6"/>
      <c r="CC15" s="6"/>
      <c r="CD15" s="6">
        <f t="shared" ca="1" si="15"/>
        <v>0</v>
      </c>
      <c r="CE15" s="6"/>
      <c r="CF15" s="6"/>
      <c r="CG15" s="6"/>
      <c r="CH15" s="6">
        <f t="shared" ca="1" si="16"/>
        <v>0</v>
      </c>
      <c r="CI15" s="6"/>
      <c r="CJ15" s="6"/>
      <c r="CK15" s="6"/>
      <c r="CL15" s="6">
        <f t="shared" ca="1" si="17"/>
        <v>0</v>
      </c>
      <c r="CM15" s="6"/>
      <c r="CN15" s="3" t="s">
        <v>236</v>
      </c>
      <c r="CO15" s="8">
        <f t="shared" ca="1" si="20"/>
        <v>1.4166666666666667</v>
      </c>
      <c r="CP15" s="9" t="str">
        <f t="shared" ca="1" si="21"/>
        <v>1 Años 5 meses</v>
      </c>
    </row>
    <row r="16" spans="1:94" ht="10.8" customHeight="1" x14ac:dyDescent="0.3">
      <c r="A16" s="2">
        <v>18</v>
      </c>
      <c r="B16" s="3" t="s">
        <v>97</v>
      </c>
      <c r="C16" s="3" t="s">
        <v>79</v>
      </c>
      <c r="D16" s="3" t="s">
        <v>80</v>
      </c>
      <c r="E16" s="3" t="s">
        <v>98</v>
      </c>
      <c r="F16" s="3" t="s">
        <v>99</v>
      </c>
      <c r="G16" s="3" t="s">
        <v>80</v>
      </c>
      <c r="H16" s="3" t="s">
        <v>100</v>
      </c>
      <c r="I16" s="3">
        <v>8</v>
      </c>
      <c r="J16" s="3">
        <v>71616056</v>
      </c>
      <c r="K16" s="4" t="s">
        <v>237</v>
      </c>
      <c r="L16" s="4" t="s">
        <v>85</v>
      </c>
      <c r="M16" s="4"/>
      <c r="N16" s="6" t="s">
        <v>238</v>
      </c>
      <c r="O16" s="6">
        <v>3046404657</v>
      </c>
      <c r="P16" s="6" t="s">
        <v>239</v>
      </c>
      <c r="Q16" s="5">
        <v>44682</v>
      </c>
      <c r="R16" s="5">
        <v>44926</v>
      </c>
      <c r="S16" s="6">
        <f t="shared" ca="1" si="0"/>
        <v>7</v>
      </c>
      <c r="T16" s="6" cm="1">
        <f t="array" aca="1" ref="T16" ca="1">IFERROR(SUMPRODUCT((DAY(Q16+ROW(INDIRECT("1:"&amp;R16-Q16)))&lt;&gt;31)*1),0)</f>
        <v>239</v>
      </c>
      <c r="U16" s="6">
        <f t="shared" ca="1" si="18"/>
        <v>29</v>
      </c>
      <c r="V16" s="6" t="s">
        <v>202</v>
      </c>
      <c r="W16" s="6"/>
      <c r="X16" s="6"/>
      <c r="Y16" s="6" t="s">
        <v>240</v>
      </c>
      <c r="Z16" s="5">
        <v>44287</v>
      </c>
      <c r="AA16" s="11">
        <v>44561</v>
      </c>
      <c r="AB16" s="6">
        <f t="shared" ca="1" si="1"/>
        <v>8</v>
      </c>
      <c r="AC16" s="6" cm="1">
        <f t="array" aca="1" ref="AC16" ca="1">IFERROR(SUMPRODUCT((DAY(Z16+ROW(INDIRECT("1:"&amp;AA16-Z16)))&lt;&gt;31)*1),0)</f>
        <v>269</v>
      </c>
      <c r="AD16" s="6">
        <f t="shared" ca="1" si="2"/>
        <v>29</v>
      </c>
      <c r="AE16" s="6" t="s">
        <v>241</v>
      </c>
      <c r="AF16" s="6" t="s">
        <v>242</v>
      </c>
      <c r="AG16" s="5"/>
      <c r="AH16" s="11"/>
      <c r="AI16" s="6">
        <f t="shared" ca="1" si="3"/>
        <v>0</v>
      </c>
      <c r="AJ16" s="6" cm="1">
        <f t="array" aca="1" ref="AJ16" ca="1">IFERROR(SUMPRODUCT((DAY(AG16+ROW(INDIRECT("1:"&amp;AH16-AG16)))&lt;&gt;31)*1),0)</f>
        <v>0</v>
      </c>
      <c r="AK16" s="6">
        <f t="shared" ca="1" si="4"/>
        <v>0</v>
      </c>
      <c r="AL16" s="6"/>
      <c r="AM16" s="6"/>
      <c r="AN16" s="6"/>
      <c r="AO16" s="6"/>
      <c r="AP16" s="6">
        <f t="shared" ca="1" si="5"/>
        <v>0</v>
      </c>
      <c r="AQ16" s="6" cm="1">
        <f t="array" aca="1" ref="AQ16" ca="1">IFERROR(SUMPRODUCT((DAY(AN16+ROW(INDIRECT("1:"&amp;AO16-AN16)))&lt;&gt;31)*1),0)</f>
        <v>0</v>
      </c>
      <c r="AR16" s="6">
        <f t="shared" ca="1" si="6"/>
        <v>0</v>
      </c>
      <c r="AS16" s="6"/>
      <c r="AT16" s="6"/>
      <c r="AU16" s="6"/>
      <c r="AV16" s="6"/>
      <c r="AW16" s="6">
        <f t="shared" ca="1" si="7"/>
        <v>0</v>
      </c>
      <c r="AX16" s="6" cm="1">
        <f t="array" aca="1" ref="AX16" ca="1">IFERROR(SUMPRODUCT((DAY(AU16+ROW(INDIRECT("1:"&amp;AV16-AU16)))&lt;&gt;31)*1),0)</f>
        <v>0</v>
      </c>
      <c r="AY16" s="6">
        <f t="shared" ca="1" si="8"/>
        <v>0</v>
      </c>
      <c r="AZ16" s="6"/>
      <c r="BA16" s="6"/>
      <c r="BB16" s="6"/>
      <c r="BC16" s="6"/>
      <c r="BD16" s="6">
        <f t="shared" ca="1" si="9"/>
        <v>0</v>
      </c>
      <c r="BE16" s="6" cm="1">
        <f t="array" aca="1" ref="BE16" ca="1">IFERROR(SUMPRODUCT((DAY(BB16+ROW(INDIRECT("1:"&amp;BC16-BB16)))&lt;&gt;31)*1),0)</f>
        <v>0</v>
      </c>
      <c r="BF16" s="6">
        <f t="shared" ca="1" si="10"/>
        <v>0</v>
      </c>
      <c r="BG16" s="6"/>
      <c r="BH16" s="6"/>
      <c r="BI16" s="6">
        <f t="shared" ca="1" si="19"/>
        <v>15</v>
      </c>
      <c r="BJ16" s="6">
        <f t="shared" ca="1" si="11"/>
        <v>508</v>
      </c>
      <c r="BK16" s="6">
        <f t="shared" ca="1" si="11"/>
        <v>58</v>
      </c>
      <c r="BL16" s="7"/>
      <c r="BM16" s="6" t="s">
        <v>202</v>
      </c>
      <c r="BN16" s="6"/>
      <c r="BO16" s="6"/>
      <c r="BP16" s="5">
        <v>33319</v>
      </c>
      <c r="BQ16" s="6">
        <f t="shared" ca="1" si="12"/>
        <v>415</v>
      </c>
      <c r="BR16" s="6"/>
      <c r="BS16" s="6"/>
      <c r="BT16" s="6"/>
      <c r="BU16" s="6"/>
      <c r="BV16" s="6">
        <f t="shared" ca="1" si="13"/>
        <v>0</v>
      </c>
      <c r="BW16" s="6"/>
      <c r="BX16" s="6"/>
      <c r="BY16" s="6"/>
      <c r="BZ16" s="6">
        <f t="shared" ca="1" si="14"/>
        <v>0</v>
      </c>
      <c r="CA16" s="6"/>
      <c r="CB16" s="6"/>
      <c r="CC16" s="6"/>
      <c r="CD16" s="6">
        <f t="shared" ca="1" si="15"/>
        <v>0</v>
      </c>
      <c r="CE16" s="6"/>
      <c r="CF16" s="6"/>
      <c r="CG16" s="6"/>
      <c r="CH16" s="6">
        <f t="shared" ca="1" si="16"/>
        <v>0</v>
      </c>
      <c r="CI16" s="6"/>
      <c r="CJ16" s="6"/>
      <c r="CK16" s="6"/>
      <c r="CL16" s="6">
        <f t="shared" ca="1" si="17"/>
        <v>0</v>
      </c>
      <c r="CM16" s="6"/>
      <c r="CN16" s="3" t="s">
        <v>243</v>
      </c>
      <c r="CO16" s="8">
        <f t="shared" ca="1" si="20"/>
        <v>1.25</v>
      </c>
      <c r="CP16" s="9" t="str">
        <f t="shared" ca="1" si="21"/>
        <v>1 Años 3 meses</v>
      </c>
    </row>
    <row r="17" spans="1:94" ht="10.8" customHeight="1" x14ac:dyDescent="0.3">
      <c r="A17" s="2">
        <v>19</v>
      </c>
      <c r="B17" s="3" t="s">
        <v>137</v>
      </c>
      <c r="C17" s="3" t="s">
        <v>79</v>
      </c>
      <c r="D17" s="3" t="s">
        <v>80</v>
      </c>
      <c r="E17" s="3" t="s">
        <v>81</v>
      </c>
      <c r="F17" s="3" t="s">
        <v>138</v>
      </c>
      <c r="G17" s="3" t="s">
        <v>125</v>
      </c>
      <c r="H17" s="3" t="s">
        <v>139</v>
      </c>
      <c r="I17" s="3">
        <v>20</v>
      </c>
      <c r="J17" s="2">
        <v>1013605691</v>
      </c>
      <c r="K17" s="4" t="s">
        <v>244</v>
      </c>
      <c r="L17" s="4" t="s">
        <v>102</v>
      </c>
      <c r="M17" s="4"/>
      <c r="N17" s="6" t="s">
        <v>245</v>
      </c>
      <c r="O17" s="6">
        <v>3165757858</v>
      </c>
      <c r="P17" s="6" t="s">
        <v>246</v>
      </c>
      <c r="Q17" s="5">
        <v>45366</v>
      </c>
      <c r="R17" s="5">
        <v>45594</v>
      </c>
      <c r="S17" s="6">
        <f t="shared" ca="1" si="0"/>
        <v>7</v>
      </c>
      <c r="T17" s="6" cm="1">
        <f t="array" aca="1" ref="T17" ca="1">IFERROR(SUMPRODUCT((DAY(Q17+ROW(INDIRECT("1:"&amp;R17-Q17)))&lt;&gt;31)*1),0)</f>
        <v>224</v>
      </c>
      <c r="U17" s="6">
        <f t="shared" ca="1" si="18"/>
        <v>14</v>
      </c>
      <c r="V17" s="6"/>
      <c r="W17" s="6"/>
      <c r="X17" s="6"/>
      <c r="Y17" s="6" t="s">
        <v>247</v>
      </c>
      <c r="Z17" s="5">
        <v>44958</v>
      </c>
      <c r="AA17" s="11">
        <v>45291</v>
      </c>
      <c r="AB17" s="6">
        <f t="shared" ca="1" si="1"/>
        <v>10</v>
      </c>
      <c r="AC17" s="6" cm="1">
        <f t="array" aca="1" ref="AC17" ca="1">IFERROR(SUMPRODUCT((DAY(Z17+ROW(INDIRECT("1:"&amp;AA17-Z17)))&lt;&gt;31)*1),0)</f>
        <v>327</v>
      </c>
      <c r="AD17" s="6">
        <f t="shared" ca="1" si="2"/>
        <v>27</v>
      </c>
      <c r="AE17" s="6" t="s">
        <v>248</v>
      </c>
      <c r="AF17" s="6" t="s">
        <v>249</v>
      </c>
      <c r="AG17" s="5">
        <v>44682</v>
      </c>
      <c r="AH17" s="11">
        <v>44926</v>
      </c>
      <c r="AI17" s="6">
        <f t="shared" ca="1" si="3"/>
        <v>7</v>
      </c>
      <c r="AJ17" s="6" cm="1">
        <f t="array" aca="1" ref="AJ17" ca="1">IFERROR(SUMPRODUCT((DAY(AG17+ROW(INDIRECT("1:"&amp;AH17-AG17)))&lt;&gt;31)*1),0)</f>
        <v>239</v>
      </c>
      <c r="AK17" s="6">
        <f t="shared" ca="1" si="4"/>
        <v>29</v>
      </c>
      <c r="AL17" s="6" t="s">
        <v>106</v>
      </c>
      <c r="AM17" s="6" t="s">
        <v>250</v>
      </c>
      <c r="AN17" s="6"/>
      <c r="AO17" s="6"/>
      <c r="AP17" s="6">
        <f t="shared" ca="1" si="5"/>
        <v>0</v>
      </c>
      <c r="AQ17" s="6" cm="1">
        <f t="array" aca="1" ref="AQ17" ca="1">IFERROR(SUMPRODUCT((DAY(AN17+ROW(INDIRECT("1:"&amp;AO17-AN17)))&lt;&gt;31)*1),0)</f>
        <v>0</v>
      </c>
      <c r="AR17" s="6">
        <f t="shared" ca="1" si="6"/>
        <v>0</v>
      </c>
      <c r="AS17" s="6"/>
      <c r="AT17" s="6"/>
      <c r="AU17" s="6"/>
      <c r="AV17" s="6"/>
      <c r="AW17" s="6">
        <f t="shared" ca="1" si="7"/>
        <v>0</v>
      </c>
      <c r="AX17" s="6" cm="1">
        <f t="array" aca="1" ref="AX17" ca="1">IFERROR(SUMPRODUCT((DAY(AU17+ROW(INDIRECT("1:"&amp;AV17-AU17)))&lt;&gt;31)*1),0)</f>
        <v>0</v>
      </c>
      <c r="AY17" s="6">
        <f t="shared" ca="1" si="8"/>
        <v>0</v>
      </c>
      <c r="AZ17" s="6"/>
      <c r="BA17" s="6"/>
      <c r="BB17" s="6"/>
      <c r="BC17" s="6"/>
      <c r="BD17" s="6">
        <f t="shared" ca="1" si="9"/>
        <v>0</v>
      </c>
      <c r="BE17" s="6" cm="1">
        <f t="array" aca="1" ref="BE17" ca="1">IFERROR(SUMPRODUCT((DAY(BB17+ROW(INDIRECT("1:"&amp;BC17-BB17)))&lt;&gt;31)*1),0)</f>
        <v>0</v>
      </c>
      <c r="BF17" s="6">
        <f t="shared" ca="1" si="10"/>
        <v>0</v>
      </c>
      <c r="BG17" s="6"/>
      <c r="BH17" s="6"/>
      <c r="BI17" s="6">
        <f t="shared" ca="1" si="19"/>
        <v>24</v>
      </c>
      <c r="BJ17" s="6">
        <f t="shared" ca="1" si="11"/>
        <v>790</v>
      </c>
      <c r="BK17" s="6">
        <f t="shared" ca="1" si="11"/>
        <v>70</v>
      </c>
      <c r="BL17" s="7">
        <v>41711</v>
      </c>
      <c r="BM17" s="6" t="s">
        <v>106</v>
      </c>
      <c r="BN17" s="6"/>
      <c r="BO17" s="6"/>
      <c r="BP17" s="5">
        <v>41684</v>
      </c>
      <c r="BQ17" s="6">
        <f t="shared" ca="1" si="12"/>
        <v>140</v>
      </c>
      <c r="BR17" s="6"/>
      <c r="BS17" s="6"/>
      <c r="BT17" s="6"/>
      <c r="BU17" s="6"/>
      <c r="BV17" s="6">
        <f t="shared" ca="1" si="13"/>
        <v>0</v>
      </c>
      <c r="BW17" s="6" t="s">
        <v>251</v>
      </c>
      <c r="BX17" s="6"/>
      <c r="BY17" s="5">
        <v>42083</v>
      </c>
      <c r="BZ17" s="6">
        <f t="shared" ca="1" si="14"/>
        <v>127</v>
      </c>
      <c r="CA17" s="6"/>
      <c r="CB17" s="6"/>
      <c r="CC17" s="6"/>
      <c r="CD17" s="6">
        <f t="shared" ca="1" si="15"/>
        <v>0</v>
      </c>
      <c r="CE17" s="6"/>
      <c r="CF17" s="6"/>
      <c r="CG17" s="6"/>
      <c r="CH17" s="6">
        <f t="shared" ca="1" si="16"/>
        <v>0</v>
      </c>
      <c r="CI17" s="6"/>
      <c r="CJ17" s="6"/>
      <c r="CK17" s="6"/>
      <c r="CL17" s="6">
        <f t="shared" ca="1" si="17"/>
        <v>0</v>
      </c>
      <c r="CM17" s="6"/>
      <c r="CN17" s="3" t="s">
        <v>228</v>
      </c>
      <c r="CO17" s="8">
        <f t="shared" ca="1" si="20"/>
        <v>2</v>
      </c>
      <c r="CP17" s="9" t="str">
        <f t="shared" ca="1" si="21"/>
        <v>2 Años 0 meses</v>
      </c>
    </row>
    <row r="18" spans="1:94" ht="10.8" customHeight="1" x14ac:dyDescent="0.3">
      <c r="A18" s="2">
        <v>20</v>
      </c>
      <c r="B18" s="3" t="s">
        <v>183</v>
      </c>
      <c r="C18" s="3" t="s">
        <v>79</v>
      </c>
      <c r="D18" s="3" t="s">
        <v>130</v>
      </c>
      <c r="E18" s="3" t="s">
        <v>81</v>
      </c>
      <c r="F18" s="3" t="s">
        <v>184</v>
      </c>
      <c r="G18" s="3" t="s">
        <v>125</v>
      </c>
      <c r="H18" s="3" t="s">
        <v>139</v>
      </c>
      <c r="I18" s="3">
        <v>20</v>
      </c>
      <c r="J18" s="2">
        <v>1144072068</v>
      </c>
      <c r="K18" s="4" t="s">
        <v>252</v>
      </c>
      <c r="L18" s="4" t="s">
        <v>102</v>
      </c>
      <c r="M18" s="4"/>
      <c r="N18" s="6" t="s">
        <v>253</v>
      </c>
      <c r="O18" s="6">
        <v>3156240111</v>
      </c>
      <c r="P18" s="6" t="s">
        <v>254</v>
      </c>
      <c r="Q18" s="5">
        <v>45366</v>
      </c>
      <c r="R18" s="5">
        <v>45594</v>
      </c>
      <c r="S18" s="6">
        <f t="shared" ca="1" si="0"/>
        <v>7</v>
      </c>
      <c r="T18" s="6" cm="1">
        <f t="array" aca="1" ref="T18" ca="1">IFERROR(SUMPRODUCT((DAY(Q18+ROW(INDIRECT("1:"&amp;R18-Q18)))&lt;&gt;31)*1),0)</f>
        <v>224</v>
      </c>
      <c r="U18" s="6">
        <f t="shared" ca="1" si="18"/>
        <v>14</v>
      </c>
      <c r="V18" s="6"/>
      <c r="W18" s="6"/>
      <c r="X18" s="6"/>
      <c r="Y18" s="6" t="s">
        <v>255</v>
      </c>
      <c r="Z18" s="5">
        <v>45049</v>
      </c>
      <c r="AA18" s="5">
        <v>45140</v>
      </c>
      <c r="AB18" s="6">
        <f t="shared" ca="1" si="1"/>
        <v>2</v>
      </c>
      <c r="AC18" s="6" cm="1">
        <f t="array" aca="1" ref="AC18" ca="1">IFERROR(SUMPRODUCT((DAY(Z18+ROW(INDIRECT("1:"&amp;AA18-Z18)))&lt;&gt;31)*1),0)</f>
        <v>89</v>
      </c>
      <c r="AD18" s="6">
        <f t="shared" ca="1" si="2"/>
        <v>29</v>
      </c>
      <c r="AE18" s="6" t="s">
        <v>193</v>
      </c>
      <c r="AF18" s="6" t="s">
        <v>256</v>
      </c>
      <c r="AG18" s="5">
        <v>45147</v>
      </c>
      <c r="AH18" s="5">
        <v>45238</v>
      </c>
      <c r="AI18" s="6">
        <f t="shared" ca="1" si="3"/>
        <v>2</v>
      </c>
      <c r="AJ18" s="6" cm="1">
        <f t="array" aca="1" ref="AJ18" ca="1">IFERROR(SUMPRODUCT((DAY(AG18+ROW(INDIRECT("1:"&amp;AH18-AG18)))&lt;&gt;31)*1),0)</f>
        <v>89</v>
      </c>
      <c r="AK18" s="6">
        <f t="shared" ca="1" si="4"/>
        <v>29</v>
      </c>
      <c r="AL18" s="6" t="s">
        <v>193</v>
      </c>
      <c r="AM18" s="6" t="s">
        <v>256</v>
      </c>
      <c r="AN18" s="5">
        <v>44696</v>
      </c>
      <c r="AO18" s="5">
        <v>44985</v>
      </c>
      <c r="AP18" s="6">
        <f t="shared" ca="1" si="5"/>
        <v>9</v>
      </c>
      <c r="AQ18" s="6" cm="1">
        <f t="array" aca="1" ref="AQ18" ca="1">IFERROR(SUMPRODUCT((DAY(AN18+ROW(INDIRECT("1:"&amp;AO18-AN18)))&lt;&gt;31)*1),0)</f>
        <v>283</v>
      </c>
      <c r="AR18" s="6">
        <f t="shared" ca="1" si="6"/>
        <v>13</v>
      </c>
      <c r="AS18" s="6" t="s">
        <v>257</v>
      </c>
      <c r="AT18" s="6" t="s">
        <v>258</v>
      </c>
      <c r="AU18" s="6"/>
      <c r="AV18" s="6"/>
      <c r="AW18" s="6">
        <f t="shared" ca="1" si="7"/>
        <v>0</v>
      </c>
      <c r="AX18" s="6" cm="1">
        <f t="array" aca="1" ref="AX18" ca="1">IFERROR(SUMPRODUCT((DAY(AU18+ROW(INDIRECT("1:"&amp;AV18-AU18)))&lt;&gt;31)*1),0)</f>
        <v>0</v>
      </c>
      <c r="AY18" s="6">
        <f t="shared" ca="1" si="8"/>
        <v>0</v>
      </c>
      <c r="AZ18" s="6"/>
      <c r="BA18" s="6"/>
      <c r="BB18" s="6"/>
      <c r="BC18" s="6"/>
      <c r="BD18" s="6">
        <f t="shared" ca="1" si="9"/>
        <v>0</v>
      </c>
      <c r="BE18" s="6" cm="1">
        <f t="array" aca="1" ref="BE18" ca="1">IFERROR(SUMPRODUCT((DAY(BB18+ROW(INDIRECT("1:"&amp;BC18-BB18)))&lt;&gt;31)*1),0)</f>
        <v>0</v>
      </c>
      <c r="BF18" s="6">
        <f t="shared" ca="1" si="10"/>
        <v>0</v>
      </c>
      <c r="BG18" s="6"/>
      <c r="BH18" s="6"/>
      <c r="BI18" s="6">
        <f t="shared" ca="1" si="19"/>
        <v>20</v>
      </c>
      <c r="BJ18" s="6">
        <f t="shared" ca="1" si="11"/>
        <v>685</v>
      </c>
      <c r="BK18" s="6">
        <f t="shared" ca="1" si="11"/>
        <v>85</v>
      </c>
      <c r="BL18" s="5">
        <v>45077</v>
      </c>
      <c r="BM18" s="6" t="s">
        <v>193</v>
      </c>
      <c r="BN18" s="6"/>
      <c r="BO18" s="6"/>
      <c r="BP18" s="11">
        <v>44484</v>
      </c>
      <c r="BQ18" s="6">
        <f t="shared" ca="1" si="12"/>
        <v>48</v>
      </c>
      <c r="BR18" s="6"/>
      <c r="BS18" s="6"/>
      <c r="BT18" s="6"/>
      <c r="BU18" s="6"/>
      <c r="BV18" s="6">
        <f t="shared" ca="1" si="13"/>
        <v>0</v>
      </c>
      <c r="BW18" s="6"/>
      <c r="BX18" s="6"/>
      <c r="BY18" s="6"/>
      <c r="BZ18" s="6">
        <f t="shared" ca="1" si="14"/>
        <v>0</v>
      </c>
      <c r="CA18" s="6"/>
      <c r="CB18" s="6"/>
      <c r="CC18" s="6"/>
      <c r="CD18" s="6">
        <f t="shared" ca="1" si="15"/>
        <v>0</v>
      </c>
      <c r="CE18" s="6"/>
      <c r="CF18" s="6"/>
      <c r="CG18" s="6"/>
      <c r="CH18" s="6">
        <f t="shared" ca="1" si="16"/>
        <v>0</v>
      </c>
      <c r="CI18" s="6"/>
      <c r="CJ18" s="6"/>
      <c r="CK18" s="6"/>
      <c r="CL18" s="6">
        <f t="shared" ca="1" si="17"/>
        <v>0</v>
      </c>
      <c r="CM18" s="6"/>
      <c r="CN18" s="2"/>
      <c r="CO18" s="8">
        <f t="shared" ca="1" si="20"/>
        <v>1.6666666666666667</v>
      </c>
      <c r="CP18" s="9" t="str">
        <f t="shared" ca="1" si="21"/>
        <v>1 Años 8 meses</v>
      </c>
    </row>
    <row r="19" spans="1:94" ht="10.8" customHeight="1" x14ac:dyDescent="0.3">
      <c r="A19" s="2">
        <v>22</v>
      </c>
      <c r="B19" s="3" t="s">
        <v>204</v>
      </c>
      <c r="C19" s="3" t="s">
        <v>148</v>
      </c>
      <c r="D19" s="3" t="s">
        <v>130</v>
      </c>
      <c r="E19" s="3" t="s">
        <v>149</v>
      </c>
      <c r="F19" s="3" t="s">
        <v>259</v>
      </c>
      <c r="G19" s="3" t="s">
        <v>151</v>
      </c>
      <c r="H19" s="3" t="s">
        <v>83</v>
      </c>
      <c r="I19" s="3">
        <v>20</v>
      </c>
      <c r="J19" s="3">
        <v>1118301898</v>
      </c>
      <c r="K19" s="4" t="s">
        <v>260</v>
      </c>
      <c r="L19" s="4" t="s">
        <v>102</v>
      </c>
      <c r="M19" s="4" t="s">
        <v>103</v>
      </c>
      <c r="N19" s="6" t="s">
        <v>261</v>
      </c>
      <c r="O19" s="6">
        <v>3212967362</v>
      </c>
      <c r="P19" s="6" t="s">
        <v>262</v>
      </c>
      <c r="Q19" s="5">
        <v>44925</v>
      </c>
      <c r="R19" s="5">
        <v>45291</v>
      </c>
      <c r="S19" s="6">
        <f t="shared" ca="1" si="0"/>
        <v>11</v>
      </c>
      <c r="T19" s="6" cm="1">
        <f t="array" aca="1" ref="T19" ca="1">IFERROR(SUMPRODUCT((DAY(Q19+ROW(INDIRECT("1:"&amp;R19-Q19)))&lt;&gt;31)*1),0)</f>
        <v>358</v>
      </c>
      <c r="U19" s="6">
        <f t="shared" ca="1" si="18"/>
        <v>28</v>
      </c>
      <c r="V19" s="6" t="s">
        <v>263</v>
      </c>
      <c r="W19" s="6" t="s">
        <v>157</v>
      </c>
      <c r="X19" s="6" t="s">
        <v>107</v>
      </c>
      <c r="Y19" s="6" t="s">
        <v>264</v>
      </c>
      <c r="Z19" s="5">
        <v>44682</v>
      </c>
      <c r="AA19" s="11">
        <v>44926</v>
      </c>
      <c r="AB19" s="6">
        <f t="shared" ca="1" si="1"/>
        <v>7</v>
      </c>
      <c r="AC19" s="6" cm="1">
        <f t="array" aca="1" ref="AC19" ca="1">IFERROR(SUMPRODUCT((DAY(Z19+ROW(INDIRECT("1:"&amp;AA19-Z19)))&lt;&gt;31)*1),0)</f>
        <v>239</v>
      </c>
      <c r="AD19" s="6">
        <f t="shared" ca="1" si="2"/>
        <v>29</v>
      </c>
      <c r="AE19" s="6" t="s">
        <v>263</v>
      </c>
      <c r="AF19" s="6" t="s">
        <v>265</v>
      </c>
      <c r="AG19" s="5">
        <v>45366</v>
      </c>
      <c r="AH19" s="11">
        <v>45594</v>
      </c>
      <c r="AI19" s="6">
        <f t="shared" ca="1" si="3"/>
        <v>7</v>
      </c>
      <c r="AJ19" s="6" cm="1">
        <f t="array" aca="1" ref="AJ19" ca="1">IFERROR(SUMPRODUCT((DAY(AG19+ROW(INDIRECT("1:"&amp;AH19-AG19)))&lt;&gt;31)*1),0)</f>
        <v>224</v>
      </c>
      <c r="AK19" s="6">
        <f t="shared" ca="1" si="4"/>
        <v>14</v>
      </c>
      <c r="AL19" s="6" t="s">
        <v>266</v>
      </c>
      <c r="AM19" s="6" t="s">
        <v>267</v>
      </c>
      <c r="AN19" s="6"/>
      <c r="AO19" s="6"/>
      <c r="AP19" s="6">
        <f t="shared" ca="1" si="5"/>
        <v>0</v>
      </c>
      <c r="AQ19" s="6" cm="1">
        <f t="array" aca="1" ref="AQ19" ca="1">IFERROR(SUMPRODUCT((DAY(AN19+ROW(INDIRECT("1:"&amp;AO19-AN19)))&lt;&gt;31)*1),0)</f>
        <v>0</v>
      </c>
      <c r="AR19" s="6">
        <f t="shared" ca="1" si="6"/>
        <v>0</v>
      </c>
      <c r="AS19" s="6"/>
      <c r="AT19" s="6"/>
      <c r="AU19" s="6"/>
      <c r="AV19" s="6"/>
      <c r="AW19" s="6">
        <f t="shared" ca="1" si="7"/>
        <v>0</v>
      </c>
      <c r="AX19" s="6" cm="1">
        <f t="array" aca="1" ref="AX19" ca="1">IFERROR(SUMPRODUCT((DAY(AU19+ROW(INDIRECT("1:"&amp;AV19-AU19)))&lt;&gt;31)*1),0)</f>
        <v>0</v>
      </c>
      <c r="AY19" s="6">
        <f t="shared" ca="1" si="8"/>
        <v>0</v>
      </c>
      <c r="AZ19" s="6"/>
      <c r="BA19" s="6"/>
      <c r="BB19" s="6"/>
      <c r="BC19" s="6"/>
      <c r="BD19" s="6">
        <f t="shared" ca="1" si="9"/>
        <v>0</v>
      </c>
      <c r="BE19" s="6" cm="1">
        <f t="array" aca="1" ref="BE19" ca="1">IFERROR(SUMPRODUCT((DAY(BB19+ROW(INDIRECT("1:"&amp;BC19-BB19)))&lt;&gt;31)*1),0)</f>
        <v>0</v>
      </c>
      <c r="BF19" s="6">
        <f t="shared" ca="1" si="10"/>
        <v>0</v>
      </c>
      <c r="BG19" s="6"/>
      <c r="BH19" s="6"/>
      <c r="BI19" s="6">
        <f t="shared" ca="1" si="19"/>
        <v>25</v>
      </c>
      <c r="BJ19" s="6">
        <f t="shared" ca="1" si="19"/>
        <v>821</v>
      </c>
      <c r="BK19" s="6">
        <f t="shared" ca="1" si="19"/>
        <v>71</v>
      </c>
      <c r="BL19" s="7"/>
      <c r="BM19" s="6" t="s">
        <v>263</v>
      </c>
      <c r="BN19" s="6"/>
      <c r="BO19" s="6"/>
      <c r="BP19" s="6"/>
      <c r="BQ19" s="6">
        <f t="shared" ca="1" si="12"/>
        <v>0</v>
      </c>
      <c r="BR19" s="6"/>
      <c r="BS19" s="6"/>
      <c r="BT19" s="6"/>
      <c r="BU19" s="6"/>
      <c r="BV19" s="6">
        <f t="shared" ca="1" si="13"/>
        <v>0</v>
      </c>
      <c r="BW19" s="6"/>
      <c r="BX19" s="6"/>
      <c r="BY19" s="6"/>
      <c r="BZ19" s="6">
        <f t="shared" ca="1" si="14"/>
        <v>0</v>
      </c>
      <c r="CA19" s="6"/>
      <c r="CB19" s="6"/>
      <c r="CC19" s="6"/>
      <c r="CD19" s="6">
        <f t="shared" ca="1" si="15"/>
        <v>0</v>
      </c>
      <c r="CE19" s="6"/>
      <c r="CF19" s="6"/>
      <c r="CG19" s="6"/>
      <c r="CH19" s="6">
        <f t="shared" ca="1" si="16"/>
        <v>0</v>
      </c>
      <c r="CI19" s="6"/>
      <c r="CJ19" s="6"/>
      <c r="CK19" s="6"/>
      <c r="CL19" s="6">
        <f t="shared" ca="1" si="17"/>
        <v>0</v>
      </c>
      <c r="CM19" s="6"/>
      <c r="CN19" s="3" t="s">
        <v>268</v>
      </c>
      <c r="CO19" s="8">
        <f t="shared" ca="1" si="20"/>
        <v>2.0833333333333335</v>
      </c>
      <c r="CP19" s="9" t="str">
        <f t="shared" ca="1" si="21"/>
        <v>2 Años 1 meses</v>
      </c>
    </row>
  </sheetData>
  <autoFilter ref="A2:CP19" xr:uid="{00000000-0009-0000-0000-000003000000}"/>
  <mergeCells count="6">
    <mergeCell ref="BL1:BQ1"/>
    <mergeCell ref="B1:I1"/>
    <mergeCell ref="J1:L1"/>
    <mergeCell ref="N1:P1"/>
    <mergeCell ref="S1:U1"/>
    <mergeCell ref="BI1:BK1"/>
  </mergeCells>
  <conditionalFormatting sqref="A3:CM19">
    <cfRule type="expression" dxfId="6" priority="6">
      <formula>#REF!="FALTAN DOCUMENTOS"</formula>
    </cfRule>
    <cfRule type="expression" dxfId="5" priority="7">
      <formula>#REF!="OK TODO"</formula>
    </cfRule>
  </conditionalFormatting>
  <conditionalFormatting sqref="Q3:CM19 N5:P19">
    <cfRule type="cellIs" dxfId="4" priority="1" operator="equal">
      <formula>"SI"</formula>
    </cfRule>
    <cfRule type="cellIs" dxfId="3" priority="2" operator="equal">
      <formula>"NO"</formula>
    </cfRule>
    <cfRule type="cellIs" dxfId="2" priority="3" operator="equal">
      <formula>"OK"</formula>
    </cfRule>
    <cfRule type="cellIs" dxfId="1" priority="4" operator="equal">
      <formula>0</formula>
    </cfRule>
    <cfRule type="cellIs" dxfId="0" priority="5" operator="equal">
      <formula>"FALTA"</formula>
    </cfRule>
  </conditionalFormatting>
  <pageMargins left="0.7" right="0.7" top="0.75" bottom="0.75" header="0.3" footer="0.3"/>
  <pageSetup scale="20" orientation="landscape" r:id="rId1"/>
  <colBreaks count="2" manualBreakCount="2">
    <brk id="32" min="1" max="18" man="1"/>
    <brk id="67" min="1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0BD7-D935-44E5-893C-26B4C33FB087}">
  <dimension ref="A1:B1"/>
  <sheetViews>
    <sheetView workbookViewId="0">
      <selection activeCell="B1" sqref="B1"/>
    </sheetView>
  </sheetViews>
  <sheetFormatPr baseColWidth="10" defaultRowHeight="14.4" x14ac:dyDescent="0.3"/>
  <cols>
    <col min="2" max="2" width="39.88671875" bestFit="1" customWidth="1"/>
  </cols>
  <sheetData>
    <row r="1" spans="1:2" x14ac:dyDescent="0.3">
      <c r="A1" t="s">
        <v>272</v>
      </c>
      <c r="B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DOCUMENTACION ACT</vt:lpstr>
      <vt:lpstr>credenciales git hub</vt:lpstr>
      <vt:lpstr>'RESUMEN DOCUMENTACION ACT'!Área_de_impresión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cp:lastPrinted>2025-10-28T16:21:52Z</cp:lastPrinted>
  <dcterms:created xsi:type="dcterms:W3CDTF">2025-10-28T16:04:26Z</dcterms:created>
  <dcterms:modified xsi:type="dcterms:W3CDTF">2025-11-05T17:56:04Z</dcterms:modified>
</cp:coreProperties>
</file>